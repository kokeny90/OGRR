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updateLinks="never" codeName="ThisWorkbook" defaultThemeVersion="124226"/>
  <bookViews>
    <workbookView xWindow="0" yWindow="72" windowWidth="16992" windowHeight="10032" tabRatio="559" activeTab="1"/>
  </bookViews>
  <sheets>
    <sheet name="adatok" sheetId="2" r:id="rId1"/>
    <sheet name="Augusztus" sheetId="4" r:id="rId2"/>
  </sheets>
  <externalReferences>
    <externalReference r:id="rId3"/>
  </externalReferences>
  <definedNames>
    <definedName name="_xlnm._FilterDatabase" localSheetId="1" hidden="1">Augusztus!$A$1:$L$142</definedName>
  </definedNames>
  <calcPr calcId="125725" calcMode="manual"/>
</workbook>
</file>

<file path=xl/calcChain.xml><?xml version="1.0" encoding="utf-8"?>
<calcChain xmlns="http://schemas.openxmlformats.org/spreadsheetml/2006/main">
  <c r="X3" i="4"/>
  <c r="Y3"/>
  <c r="X4"/>
  <c r="Y4"/>
  <c r="X5"/>
  <c r="Y5"/>
  <c r="X6"/>
  <c r="Y6"/>
  <c r="X7"/>
  <c r="Y7"/>
  <c r="X8"/>
  <c r="Y8"/>
  <c r="X9"/>
  <c r="Y9"/>
  <c r="X10"/>
  <c r="Y10"/>
  <c r="X11"/>
  <c r="Y11"/>
  <c r="X12"/>
  <c r="Y12"/>
  <c r="X13"/>
  <c r="Y13"/>
  <c r="X14"/>
  <c r="Y14"/>
  <c r="X15"/>
  <c r="Y15"/>
  <c r="X16"/>
  <c r="Y16"/>
  <c r="X17"/>
  <c r="Y17"/>
  <c r="W3"/>
  <c r="V3"/>
  <c r="V4"/>
  <c r="V5"/>
  <c r="V6"/>
  <c r="V7"/>
  <c r="AC3" l="1"/>
  <c r="AD3"/>
  <c r="AE3"/>
  <c r="AF3"/>
  <c r="AC4"/>
  <c r="AD4"/>
  <c r="AE4"/>
  <c r="AF4"/>
  <c r="AC5"/>
  <c r="AD5"/>
  <c r="AE5"/>
  <c r="AF5"/>
  <c r="AC6"/>
  <c r="AD6"/>
  <c r="AE6"/>
  <c r="AF6"/>
  <c r="AC7"/>
  <c r="AD7"/>
  <c r="AE7"/>
  <c r="AF7"/>
  <c r="AC8"/>
  <c r="AD8"/>
  <c r="AE8"/>
  <c r="AF8"/>
  <c r="AC9"/>
  <c r="AD9"/>
  <c r="AE9"/>
  <c r="AF9"/>
  <c r="AC10"/>
  <c r="AD10"/>
  <c r="AE10"/>
  <c r="AF10"/>
  <c r="AC11"/>
  <c r="AD11"/>
  <c r="AE11"/>
  <c r="AF11"/>
  <c r="AC12"/>
  <c r="AD12"/>
  <c r="AE12"/>
  <c r="AF12"/>
  <c r="AC13"/>
  <c r="AD13"/>
  <c r="AE13"/>
  <c r="AF13"/>
  <c r="AC14"/>
  <c r="AD14"/>
  <c r="AE14"/>
  <c r="AF14"/>
  <c r="AC15"/>
  <c r="AD15"/>
  <c r="AE15"/>
  <c r="AF15"/>
  <c r="AC16"/>
  <c r="AD16"/>
  <c r="AE16"/>
  <c r="AF16"/>
  <c r="AC17"/>
  <c r="AD17"/>
  <c r="AE17"/>
  <c r="AF17"/>
  <c r="AC18"/>
  <c r="AD18"/>
  <c r="AE18"/>
  <c r="AF18"/>
  <c r="AC19"/>
  <c r="AD19"/>
  <c r="AE19"/>
  <c r="AF19"/>
  <c r="AC20"/>
  <c r="AD20"/>
  <c r="AE20"/>
  <c r="AF20"/>
  <c r="AC21"/>
  <c r="AD21"/>
  <c r="AE21"/>
  <c r="AF21"/>
  <c r="AC22"/>
  <c r="AD22"/>
  <c r="AE22"/>
  <c r="AF22"/>
  <c r="AC23"/>
  <c r="AD23"/>
  <c r="AE23"/>
  <c r="AF23"/>
  <c r="AC24"/>
  <c r="AD24"/>
  <c r="AE24"/>
  <c r="AF24"/>
  <c r="AC25"/>
  <c r="AD25"/>
  <c r="AE25"/>
  <c r="AF25"/>
  <c r="AC26"/>
  <c r="AD26"/>
  <c r="AE26"/>
  <c r="AF26"/>
  <c r="AC27"/>
  <c r="AD27"/>
  <c r="AE27"/>
  <c r="AF27"/>
  <c r="AC28"/>
  <c r="AD28"/>
  <c r="AE28"/>
  <c r="AF28"/>
  <c r="AC29"/>
  <c r="AD29"/>
  <c r="AE29"/>
  <c r="AF29"/>
  <c r="AC30"/>
  <c r="AD30"/>
  <c r="AE30"/>
  <c r="AF30"/>
  <c r="AC31"/>
  <c r="AD31"/>
  <c r="AE31"/>
  <c r="AF31"/>
  <c r="AC32"/>
  <c r="AD32"/>
  <c r="AE32"/>
  <c r="AF32"/>
  <c r="AF2"/>
  <c r="AE2"/>
  <c r="AD2"/>
  <c r="AC2"/>
  <c r="Y20" l="1"/>
  <c r="Y21"/>
  <c r="Y22"/>
  <c r="Y23"/>
  <c r="Y24"/>
  <c r="Y25"/>
  <c r="Y26"/>
  <c r="Y27"/>
  <c r="Y28"/>
  <c r="Y29"/>
  <c r="Y30"/>
  <c r="Y31"/>
  <c r="Y32"/>
  <c r="Y33"/>
  <c r="Y34"/>
  <c r="Y35"/>
  <c r="X20"/>
  <c r="X21"/>
  <c r="X22"/>
  <c r="X23"/>
  <c r="X24"/>
  <c r="X25"/>
  <c r="X26"/>
  <c r="X27"/>
  <c r="X28"/>
  <c r="X29"/>
  <c r="X30"/>
  <c r="X31"/>
  <c r="X32"/>
  <c r="X33"/>
  <c r="X34"/>
  <c r="X35"/>
  <c r="AA2"/>
  <c r="AB2"/>
  <c r="AA3"/>
  <c r="AB3"/>
  <c r="AA4"/>
  <c r="AB4"/>
  <c r="AA5"/>
  <c r="AB5"/>
  <c r="AA6"/>
  <c r="AB6"/>
  <c r="AA7"/>
  <c r="AB7"/>
  <c r="AA8"/>
  <c r="AB8"/>
  <c r="AA9"/>
  <c r="AB9"/>
  <c r="AA10"/>
  <c r="AB10"/>
  <c r="AA11"/>
  <c r="AB11"/>
  <c r="AA12"/>
  <c r="AB12"/>
  <c r="AA13"/>
  <c r="AB13"/>
  <c r="AA14"/>
  <c r="AB14"/>
  <c r="AA15"/>
  <c r="AB15"/>
  <c r="AA16"/>
  <c r="AB16"/>
  <c r="AA17"/>
  <c r="AB17"/>
  <c r="AA18"/>
  <c r="AB18"/>
  <c r="AA19"/>
  <c r="AB19"/>
  <c r="AA20"/>
  <c r="AB20"/>
  <c r="AA21"/>
  <c r="AB21"/>
  <c r="AA22"/>
  <c r="AB22"/>
  <c r="AA23"/>
  <c r="AB23"/>
  <c r="AA24"/>
  <c r="AB24"/>
  <c r="AA25"/>
  <c r="AB25"/>
  <c r="AA26"/>
  <c r="AB26"/>
  <c r="AA27"/>
  <c r="AB27"/>
  <c r="AA28"/>
  <c r="AB28"/>
  <c r="AA29"/>
  <c r="AB29"/>
  <c r="AA30"/>
  <c r="AB30"/>
  <c r="AA31"/>
  <c r="AB31"/>
  <c r="AA32"/>
  <c r="AB32"/>
  <c r="AJ182"/>
  <c r="AI182"/>
  <c r="AH182"/>
  <c r="AJ181"/>
  <c r="AI181"/>
  <c r="AH181"/>
  <c r="AJ180"/>
  <c r="AI180"/>
  <c r="AH180"/>
  <c r="AJ179"/>
  <c r="AI179"/>
  <c r="AH179"/>
  <c r="AJ178"/>
  <c r="AI178"/>
  <c r="AH178"/>
  <c r="AJ177"/>
  <c r="AI177"/>
  <c r="AH177"/>
  <c r="AJ176"/>
  <c r="AI176"/>
  <c r="AH176"/>
  <c r="AJ175"/>
  <c r="AI175"/>
  <c r="AH175"/>
  <c r="AJ174"/>
  <c r="AI174"/>
  <c r="AH174"/>
  <c r="AJ173"/>
  <c r="AI173"/>
  <c r="AH173"/>
  <c r="AJ172"/>
  <c r="AI172"/>
  <c r="AH172"/>
  <c r="AJ171"/>
  <c r="AI171"/>
  <c r="AH171"/>
  <c r="AJ170"/>
  <c r="AI170"/>
  <c r="AH170"/>
  <c r="AJ169"/>
  <c r="AI169"/>
  <c r="AH169"/>
  <c r="AJ168"/>
  <c r="AI168"/>
  <c r="AH168"/>
  <c r="AJ167"/>
  <c r="AI167"/>
  <c r="AH167"/>
  <c r="AJ166"/>
  <c r="AI166"/>
  <c r="AH166"/>
  <c r="AJ165"/>
  <c r="AI165"/>
  <c r="AH165"/>
  <c r="AJ164"/>
  <c r="AI164"/>
  <c r="AH164"/>
  <c r="AJ163"/>
  <c r="AI163"/>
  <c r="AH163"/>
  <c r="AJ162"/>
  <c r="AI162"/>
  <c r="AH162"/>
  <c r="AJ161"/>
  <c r="AI161"/>
  <c r="AH161"/>
  <c r="AJ160"/>
  <c r="AI160"/>
  <c r="AH160"/>
  <c r="AJ159"/>
  <c r="AI159"/>
  <c r="AH159"/>
  <c r="AJ158"/>
  <c r="AI158"/>
  <c r="AH158"/>
  <c r="AJ157"/>
  <c r="AI157"/>
  <c r="AH157"/>
  <c r="AJ156"/>
  <c r="AI156"/>
  <c r="AH156"/>
  <c r="AJ155"/>
  <c r="AI155"/>
  <c r="AH155"/>
  <c r="AJ154"/>
  <c r="AI154"/>
  <c r="AH154"/>
  <c r="AJ153"/>
  <c r="AI153"/>
  <c r="AH153"/>
  <c r="AJ152"/>
  <c r="AI152"/>
  <c r="AH152"/>
  <c r="AJ151"/>
  <c r="AI151"/>
  <c r="AH151"/>
  <c r="AJ150"/>
  <c r="AI150"/>
  <c r="AH150"/>
  <c r="AJ149"/>
  <c r="AI149"/>
  <c r="AH149"/>
  <c r="AJ148"/>
  <c r="AI148"/>
  <c r="AH148"/>
  <c r="AJ147"/>
  <c r="AI147"/>
  <c r="AH147"/>
  <c r="AJ146"/>
  <c r="AI146"/>
  <c r="AH146"/>
  <c r="AJ145"/>
  <c r="AI145"/>
  <c r="AH145"/>
  <c r="AJ144"/>
  <c r="AI144"/>
  <c r="AH144"/>
  <c r="AJ143"/>
  <c r="AI143"/>
  <c r="AH143"/>
  <c r="AJ142"/>
  <c r="AI142"/>
  <c r="AH142"/>
  <c r="AJ141"/>
  <c r="AI141"/>
  <c r="AH141"/>
  <c r="AJ140"/>
  <c r="AI140"/>
  <c r="AH140"/>
  <c r="AJ139"/>
  <c r="AI139"/>
  <c r="AH139"/>
  <c r="AJ138"/>
  <c r="AI138"/>
  <c r="AH138"/>
  <c r="AJ137"/>
  <c r="AI137"/>
  <c r="AH137"/>
  <c r="AJ136"/>
  <c r="AI136"/>
  <c r="AH136"/>
  <c r="AJ135"/>
  <c r="AI135"/>
  <c r="AH135"/>
  <c r="AJ134"/>
  <c r="AI134"/>
  <c r="AH134"/>
  <c r="AJ133"/>
  <c r="AI133"/>
  <c r="AH133"/>
  <c r="AJ132"/>
  <c r="AI132"/>
  <c r="AH132"/>
  <c r="AJ131"/>
  <c r="AI131"/>
  <c r="AH131"/>
  <c r="AJ130"/>
  <c r="AI130"/>
  <c r="AH130"/>
  <c r="AJ129"/>
  <c r="AI129"/>
  <c r="AH129"/>
  <c r="AJ128"/>
  <c r="AI128"/>
  <c r="AH128"/>
  <c r="AJ127"/>
  <c r="AI127"/>
  <c r="AH127"/>
  <c r="AJ126"/>
  <c r="AI126"/>
  <c r="AH126"/>
  <c r="AJ125"/>
  <c r="AI125"/>
  <c r="AH125"/>
  <c r="AJ124"/>
  <c r="AI124"/>
  <c r="AH124"/>
  <c r="AJ123"/>
  <c r="AI123"/>
  <c r="AH123"/>
  <c r="AJ122"/>
  <c r="AI122"/>
  <c r="AH122"/>
  <c r="AJ121"/>
  <c r="AI121"/>
  <c r="AH121"/>
  <c r="AJ120"/>
  <c r="AI120"/>
  <c r="AH120"/>
  <c r="AJ119"/>
  <c r="AI119"/>
  <c r="AH119"/>
  <c r="AJ118"/>
  <c r="AI118"/>
  <c r="AH118"/>
  <c r="AJ117"/>
  <c r="AI117"/>
  <c r="AH117"/>
  <c r="AJ116"/>
  <c r="AI116"/>
  <c r="AH116"/>
  <c r="AJ115"/>
  <c r="AI115"/>
  <c r="AH115"/>
  <c r="AJ114"/>
  <c r="AI114"/>
  <c r="AH114"/>
  <c r="AJ113"/>
  <c r="AI113"/>
  <c r="AH113"/>
  <c r="AJ112"/>
  <c r="AI112"/>
  <c r="AH112"/>
  <c r="AJ111"/>
  <c r="AI111"/>
  <c r="AH111"/>
  <c r="AJ110"/>
  <c r="AI110"/>
  <c r="AH110"/>
  <c r="AJ109"/>
  <c r="AI109"/>
  <c r="AH109"/>
  <c r="AJ108"/>
  <c r="AI108"/>
  <c r="AH108"/>
  <c r="AJ107"/>
  <c r="AI107"/>
  <c r="AH107"/>
  <c r="AJ106"/>
  <c r="AI106"/>
  <c r="AH106"/>
  <c r="AJ105"/>
  <c r="AI105"/>
  <c r="AH105"/>
  <c r="AJ104"/>
  <c r="AI104"/>
  <c r="AH104"/>
  <c r="AJ103"/>
  <c r="AI103"/>
  <c r="AH103"/>
  <c r="AJ102"/>
  <c r="AI102"/>
  <c r="AH102"/>
  <c r="AJ101"/>
  <c r="AI101"/>
  <c r="AH101"/>
  <c r="AJ100"/>
  <c r="AI100"/>
  <c r="AH100"/>
  <c r="AJ99"/>
  <c r="AI99"/>
  <c r="AH99"/>
  <c r="AJ98"/>
  <c r="AI98"/>
  <c r="AH98"/>
  <c r="AJ97"/>
  <c r="AI97"/>
  <c r="AH97"/>
  <c r="AJ96"/>
  <c r="AI96"/>
  <c r="AH96"/>
  <c r="AJ95"/>
  <c r="AI95"/>
  <c r="AH95"/>
  <c r="AJ94"/>
  <c r="AI94"/>
  <c r="AH94"/>
  <c r="AJ93"/>
  <c r="AI93"/>
  <c r="AH93"/>
  <c r="AJ92"/>
  <c r="AI92"/>
  <c r="AH92"/>
  <c r="AJ91"/>
  <c r="AI91"/>
  <c r="AH91"/>
  <c r="AJ90"/>
  <c r="AI90"/>
  <c r="AH90"/>
  <c r="AJ89"/>
  <c r="AI89"/>
  <c r="AH89"/>
  <c r="AJ88"/>
  <c r="AI88"/>
  <c r="AH88"/>
  <c r="AJ87"/>
  <c r="AI87"/>
  <c r="AH87"/>
  <c r="AJ86"/>
  <c r="AI86"/>
  <c r="AH86"/>
  <c r="AJ85"/>
  <c r="AI85"/>
  <c r="AH85"/>
  <c r="AJ84"/>
  <c r="AI84"/>
  <c r="AH84"/>
  <c r="AJ83"/>
  <c r="AI83"/>
  <c r="AH83"/>
  <c r="AJ82"/>
  <c r="AI82"/>
  <c r="AH82"/>
  <c r="AJ81"/>
  <c r="AI81"/>
  <c r="AH81"/>
  <c r="AJ80"/>
  <c r="AI80"/>
  <c r="AH80"/>
  <c r="AJ79"/>
  <c r="AI79"/>
  <c r="AH79"/>
  <c r="AJ78"/>
  <c r="AI78"/>
  <c r="AH78"/>
  <c r="AJ77"/>
  <c r="AI77"/>
  <c r="AH77"/>
  <c r="AJ76"/>
  <c r="AI76"/>
  <c r="AH76"/>
  <c r="AJ75"/>
  <c r="AI75"/>
  <c r="AH75"/>
  <c r="AJ74"/>
  <c r="AI74"/>
  <c r="AH74"/>
  <c r="AJ73"/>
  <c r="AI73"/>
  <c r="AH73"/>
  <c r="AJ72"/>
  <c r="AI72"/>
  <c r="AH72"/>
  <c r="AJ71"/>
  <c r="AI71"/>
  <c r="AH71"/>
  <c r="AJ70"/>
  <c r="AI70"/>
  <c r="AH70"/>
  <c r="AJ69"/>
  <c r="AI69"/>
  <c r="AH69"/>
  <c r="AJ68"/>
  <c r="AI68"/>
  <c r="AH68"/>
  <c r="AJ67"/>
  <c r="AI67"/>
  <c r="AH67"/>
  <c r="AJ66"/>
  <c r="AI66"/>
  <c r="AH66"/>
  <c r="AJ65"/>
  <c r="AI65"/>
  <c r="AH65"/>
  <c r="AJ64"/>
  <c r="AI64"/>
  <c r="AH64"/>
  <c r="AJ63"/>
  <c r="AI63"/>
  <c r="AH63"/>
  <c r="Z32"/>
  <c r="AJ62"/>
  <c r="AI62"/>
  <c r="AH62"/>
  <c r="Z31"/>
  <c r="AJ61"/>
  <c r="AI61"/>
  <c r="AH61"/>
  <c r="Z30"/>
  <c r="AJ60"/>
  <c r="AI60"/>
  <c r="AH60"/>
  <c r="Z29"/>
  <c r="AJ59"/>
  <c r="AI59"/>
  <c r="AH59"/>
  <c r="Z28"/>
  <c r="AJ58"/>
  <c r="AI58"/>
  <c r="AH58"/>
  <c r="Z27"/>
  <c r="AJ57"/>
  <c r="AI57"/>
  <c r="AH57"/>
  <c r="Z26"/>
  <c r="AJ56"/>
  <c r="AI56"/>
  <c r="AH56"/>
  <c r="Z25"/>
  <c r="AJ55"/>
  <c r="AI55"/>
  <c r="AH55"/>
  <c r="Z24"/>
  <c r="AJ54"/>
  <c r="AI54"/>
  <c r="AH54"/>
  <c r="Z23"/>
  <c r="AJ53"/>
  <c r="AI53"/>
  <c r="AH53"/>
  <c r="AB53"/>
  <c r="AA53"/>
  <c r="Z22"/>
  <c r="AJ52"/>
  <c r="AI52"/>
  <c r="AH52"/>
  <c r="AB52"/>
  <c r="AA52"/>
  <c r="Z21"/>
  <c r="AJ51"/>
  <c r="AI51"/>
  <c r="AH51"/>
  <c r="AB51"/>
  <c r="AA51"/>
  <c r="Z20"/>
  <c r="AJ50"/>
  <c r="AI50"/>
  <c r="AH50"/>
  <c r="AB50"/>
  <c r="AA50"/>
  <c r="Z19"/>
  <c r="AJ49"/>
  <c r="AI49"/>
  <c r="AH49"/>
  <c r="AB49"/>
  <c r="AA49"/>
  <c r="Z18"/>
  <c r="AJ48"/>
  <c r="AI48"/>
  <c r="AH48"/>
  <c r="AB48"/>
  <c r="AA48"/>
  <c r="Z17"/>
  <c r="AJ47"/>
  <c r="AI47"/>
  <c r="AH47"/>
  <c r="AB47"/>
  <c r="AA47"/>
  <c r="Z16"/>
  <c r="AJ46"/>
  <c r="AI46"/>
  <c r="AH46"/>
  <c r="AB46"/>
  <c r="AA46"/>
  <c r="Z15"/>
  <c r="AJ45"/>
  <c r="AI45"/>
  <c r="AH45"/>
  <c r="AB45"/>
  <c r="AA45"/>
  <c r="Z14"/>
  <c r="AJ44"/>
  <c r="AI44"/>
  <c r="AH44"/>
  <c r="AB44"/>
  <c r="AA44"/>
  <c r="Z13"/>
  <c r="AJ43"/>
  <c r="AI43"/>
  <c r="AH43"/>
  <c r="AB43"/>
  <c r="AA43"/>
  <c r="Z12"/>
  <c r="AJ42"/>
  <c r="AI42"/>
  <c r="AH42"/>
  <c r="AB42"/>
  <c r="AA42"/>
  <c r="Z11"/>
  <c r="AJ41"/>
  <c r="AI41"/>
  <c r="AH41"/>
  <c r="AB41"/>
  <c r="AA41"/>
  <c r="Z10"/>
  <c r="AJ40"/>
  <c r="AI40"/>
  <c r="AH40"/>
  <c r="AB40"/>
  <c r="AA40"/>
  <c r="Z9"/>
  <c r="AJ39"/>
  <c r="AI39"/>
  <c r="AH39"/>
  <c r="AB39"/>
  <c r="AA39"/>
  <c r="Z8"/>
  <c r="AJ38"/>
  <c r="AI38"/>
  <c r="AH38"/>
  <c r="AB38"/>
  <c r="AA38"/>
  <c r="Z7"/>
  <c r="AJ37"/>
  <c r="AI37"/>
  <c r="AH37"/>
  <c r="AB37"/>
  <c r="AA37"/>
  <c r="Z6"/>
  <c r="AJ36"/>
  <c r="AI36"/>
  <c r="AH36"/>
  <c r="AB36"/>
  <c r="AA36"/>
  <c r="Z5"/>
  <c r="AJ35"/>
  <c r="AI35"/>
  <c r="AH35"/>
  <c r="AB35"/>
  <c r="AA35"/>
  <c r="Z4"/>
  <c r="AJ34"/>
  <c r="AI34"/>
  <c r="AH34"/>
  <c r="AB34"/>
  <c r="AA34"/>
  <c r="Z3"/>
  <c r="AJ33"/>
  <c r="AI33"/>
  <c r="AH33"/>
  <c r="AB33"/>
  <c r="AA33"/>
  <c r="Z2"/>
  <c r="AJ32"/>
  <c r="AI32"/>
  <c r="AH32"/>
  <c r="AJ31"/>
  <c r="AI31"/>
  <c r="AH31"/>
  <c r="AJ30"/>
  <c r="AI30"/>
  <c r="AH30"/>
  <c r="AJ29"/>
  <c r="AI29"/>
  <c r="AH29"/>
  <c r="AJ28"/>
  <c r="AI28"/>
  <c r="AH28"/>
  <c r="AJ27"/>
  <c r="AI27"/>
  <c r="AH27"/>
  <c r="AJ26"/>
  <c r="AI26"/>
  <c r="AH26"/>
  <c r="AJ25"/>
  <c r="AI25"/>
  <c r="AH25"/>
  <c r="AJ24"/>
  <c r="AI24"/>
  <c r="AH24"/>
  <c r="AJ23"/>
  <c r="AI23"/>
  <c r="AH23"/>
  <c r="AJ22"/>
  <c r="AI22"/>
  <c r="AH22"/>
  <c r="AJ21"/>
  <c r="AI21"/>
  <c r="AH21"/>
  <c r="AJ20"/>
  <c r="AI20"/>
  <c r="AH20"/>
  <c r="AJ19"/>
  <c r="AI19"/>
  <c r="AH19"/>
  <c r="AJ18"/>
  <c r="AI18"/>
  <c r="AH18"/>
  <c r="AJ17"/>
  <c r="AI17"/>
  <c r="AH17"/>
  <c r="AJ16"/>
  <c r="AI16"/>
  <c r="AH16"/>
  <c r="AJ15"/>
  <c r="AI15"/>
  <c r="AH15"/>
  <c r="AJ14"/>
  <c r="AI14"/>
  <c r="AH14"/>
  <c r="AJ13"/>
  <c r="AI13"/>
  <c r="AH13"/>
  <c r="AJ12"/>
  <c r="AI12"/>
  <c r="AH12"/>
  <c r="AJ11"/>
  <c r="AI11"/>
  <c r="AH11"/>
  <c r="AJ10"/>
  <c r="AI10"/>
  <c r="AH10"/>
  <c r="AJ9"/>
  <c r="AI9"/>
  <c r="AH9"/>
  <c r="AJ8"/>
  <c r="AI8"/>
  <c r="AH8"/>
  <c r="AJ7"/>
  <c r="AI7"/>
  <c r="AH7"/>
  <c r="AJ6"/>
  <c r="AI6"/>
  <c r="AH6"/>
  <c r="AJ5"/>
  <c r="AI5"/>
  <c r="AH5"/>
  <c r="W5"/>
  <c r="AJ4"/>
  <c r="AI4"/>
  <c r="AH4"/>
  <c r="W4"/>
  <c r="AJ3"/>
  <c r="AI3"/>
  <c r="AH3"/>
  <c r="U3"/>
  <c r="AJ2"/>
  <c r="AI2"/>
  <c r="AH2"/>
  <c r="Y2"/>
  <c r="X2"/>
  <c r="W2"/>
  <c r="V2"/>
  <c r="U2"/>
  <c r="J1" i="2" l="1"/>
  <c r="I1"/>
</calcChain>
</file>

<file path=xl/sharedStrings.xml><?xml version="1.0" encoding="utf-8"?>
<sst xmlns="http://schemas.openxmlformats.org/spreadsheetml/2006/main" count="1604" uniqueCount="215">
  <si>
    <t>Dátum</t>
  </si>
  <si>
    <t>Időintervallum</t>
  </si>
  <si>
    <t>Hiányzó dolgozó</t>
  </si>
  <si>
    <t>Ok</t>
  </si>
  <si>
    <t>Műszak</t>
  </si>
  <si>
    <t>Törzsszám</t>
  </si>
  <si>
    <t>Túlóra elrendelő szám</t>
  </si>
  <si>
    <t>Szabadság</t>
  </si>
  <si>
    <t>Betegség</t>
  </si>
  <si>
    <t>Oktatás</t>
  </si>
  <si>
    <t>Extra</t>
  </si>
  <si>
    <t>Egyéni</t>
  </si>
  <si>
    <t>Intervallum</t>
  </si>
  <si>
    <t>Okok</t>
  </si>
  <si>
    <t>Limit</t>
  </si>
  <si>
    <t>Hét</t>
  </si>
  <si>
    <t>Sor</t>
  </si>
  <si>
    <t>Pozíció</t>
  </si>
  <si>
    <t>Sorvezető</t>
  </si>
  <si>
    <t>Anyagelőkészítő</t>
  </si>
  <si>
    <t>Szerelő</t>
  </si>
  <si>
    <t>Létszámpótlás</t>
  </si>
  <si>
    <t>06:00-18:00</t>
  </si>
  <si>
    <t>18:00-06:00</t>
  </si>
  <si>
    <t>A</t>
  </si>
  <si>
    <t>B</t>
  </si>
  <si>
    <t>D</t>
  </si>
  <si>
    <t>C</t>
  </si>
  <si>
    <t>Megjegyzés (Művezető)</t>
  </si>
  <si>
    <t>Túlórás</t>
  </si>
  <si>
    <t>Hónap</t>
  </si>
  <si>
    <t>Művezető</t>
  </si>
  <si>
    <t>Engedélyezve</t>
  </si>
  <si>
    <t>Elutasítva</t>
  </si>
  <si>
    <t>Név</t>
  </si>
  <si>
    <t>Végellenőr</t>
  </si>
  <si>
    <t>Szétszerelő</t>
  </si>
  <si>
    <t>Igényelt pozíció</t>
  </si>
  <si>
    <t>Teszt,cimkézés</t>
  </si>
  <si>
    <t>Vizuális ell., csomagolás</t>
  </si>
  <si>
    <t>D4</t>
  </si>
  <si>
    <t>F4</t>
  </si>
  <si>
    <t>Pólusház szerelő</t>
  </si>
  <si>
    <t xml:space="preserve">C </t>
  </si>
  <si>
    <t>Kupecz Olivér</t>
  </si>
  <si>
    <t>Fejes László</t>
  </si>
  <si>
    <t>Birtalan Szandra</t>
  </si>
  <si>
    <t>Csobádi Anita</t>
  </si>
  <si>
    <t>Laczkó Márta</t>
  </si>
  <si>
    <t>Juhász Józsefné</t>
  </si>
  <si>
    <t>Brezovszky István</t>
  </si>
  <si>
    <t>Kasaróczki Béla</t>
  </si>
  <si>
    <t>Várallyay Szabolcs</t>
  </si>
  <si>
    <t>Barna Zsuzsanna</t>
  </si>
  <si>
    <t>Balogh Zoltánné</t>
  </si>
  <si>
    <t>Pelles Éva</t>
  </si>
  <si>
    <t>Tóth Csaba</t>
  </si>
  <si>
    <t>Budai Róbert</t>
  </si>
  <si>
    <t>Horváth Dávid</t>
  </si>
  <si>
    <t>Nyíri Ivett</t>
  </si>
  <si>
    <t>Ivancsó Balázs</t>
  </si>
  <si>
    <t>Bogdán Tímea</t>
  </si>
  <si>
    <t>Hegedűs Máté</t>
  </si>
  <si>
    <t>Harsányi Attila</t>
  </si>
  <si>
    <t>Dányi Tamás</t>
  </si>
  <si>
    <t>Kucsma Krisztina</t>
  </si>
  <si>
    <t>Szabó Szabina</t>
  </si>
  <si>
    <t>Búza Beáta</t>
  </si>
  <si>
    <t>Csontos Orsolya</t>
  </si>
  <si>
    <t>Szőlősi Beáta</t>
  </si>
  <si>
    <t>Hajdu Tamás</t>
  </si>
  <si>
    <t>Fitos Zsolt</t>
  </si>
  <si>
    <t>Drótos Natália</t>
  </si>
  <si>
    <t>Rózsavölgyi Sándor</t>
  </si>
  <si>
    <t>Szathmáry-Rácz István</t>
  </si>
  <si>
    <t>Kékedi Emese</t>
  </si>
  <si>
    <t>Thúróczi Gergely</t>
  </si>
  <si>
    <t>Aczélné Liktor Katalin</t>
  </si>
  <si>
    <t>Fehér László</t>
  </si>
  <si>
    <t>Remák Dávid</t>
  </si>
  <si>
    <t>Benedek Flóra</t>
  </si>
  <si>
    <t>Lipták Angéla</t>
  </si>
  <si>
    <t>Simai József</t>
  </si>
  <si>
    <t>Pásztor Zsolt Jenő</t>
  </si>
  <si>
    <t>Bódi Gábor</t>
  </si>
  <si>
    <t>Budai Gábor</t>
  </si>
  <si>
    <t>Tóth Mária</t>
  </si>
  <si>
    <t>Jurcsisin Béla</t>
  </si>
  <si>
    <t>Varga Istvánné</t>
  </si>
  <si>
    <t>Hornyák Kitti</t>
  </si>
  <si>
    <t>Horváth Irén</t>
  </si>
  <si>
    <t>Vinczéné Nemes Éva Lídia</t>
  </si>
  <si>
    <t>Kovácsné Fábián Brigitta</t>
  </si>
  <si>
    <t>Szórátiné Tóth Klára</t>
  </si>
  <si>
    <t>Mihalik Zsuzsanna</t>
  </si>
  <si>
    <t>Hideg Tamás</t>
  </si>
  <si>
    <t>Szél Gergő</t>
  </si>
  <si>
    <t>Kovács László</t>
  </si>
  <si>
    <t>Pintér Sándor</t>
  </si>
  <si>
    <t>Lakatos Béláné</t>
  </si>
  <si>
    <t>Kereskényi Pál</t>
  </si>
  <si>
    <t>Mérő Péter</t>
  </si>
  <si>
    <t>Márton Norbert</t>
  </si>
  <si>
    <t>Pente Istvánné</t>
  </si>
  <si>
    <t>Pocsai Nóra</t>
  </si>
  <si>
    <t>Kundrák Zsuzsanna</t>
  </si>
  <si>
    <t>Móré Norbert</t>
  </si>
  <si>
    <t>Abdelkaaremné Boros Mária</t>
  </si>
  <si>
    <t>Bíró Orsolya</t>
  </si>
  <si>
    <t>Budaháziné Szabó Marianna</t>
  </si>
  <si>
    <t>Fischer Róbert</t>
  </si>
  <si>
    <t>Szemkó Dániel</t>
  </si>
  <si>
    <t>Tóth Enikő</t>
  </si>
  <si>
    <t>Molnár Gáborné</t>
  </si>
  <si>
    <t>Jávorszky Tamara</t>
  </si>
  <si>
    <t>Borbély Brigitta</t>
  </si>
  <si>
    <t>Lujdort Tiborné</t>
  </si>
  <si>
    <t>Nagy Tamás József</t>
  </si>
  <si>
    <t>Almási Józsefné</t>
  </si>
  <si>
    <t>Tátrai András</t>
  </si>
  <si>
    <t>Veres Imréné</t>
  </si>
  <si>
    <t>Csitári Istvánné</t>
  </si>
  <si>
    <t>Lázár Krisztina</t>
  </si>
  <si>
    <t>Boros Andrea</t>
  </si>
  <si>
    <t>Sztupák Ildikó</t>
  </si>
  <si>
    <t>Tóth László</t>
  </si>
  <si>
    <t>Fészki Gergely</t>
  </si>
  <si>
    <t>Kapitány Kinga</t>
  </si>
  <si>
    <t>Kovács Gáborné</t>
  </si>
  <si>
    <t>Molnár Béláné</t>
  </si>
  <si>
    <t>Szabó Pálné</t>
  </si>
  <si>
    <t>Habán Lászlóné</t>
  </si>
  <si>
    <t>Bartáné Papp Izabella</t>
  </si>
  <si>
    <t>Szőr Ákos</t>
  </si>
  <si>
    <t>Gálné Szatmári Klaudia</t>
  </si>
  <si>
    <t>Baratiné Stoff Ágnes</t>
  </si>
  <si>
    <t>Fejesné Jakab Noémi</t>
  </si>
  <si>
    <t>Juhászné Molnár Ágnes</t>
  </si>
  <si>
    <t>Takács Veronika</t>
  </si>
  <si>
    <t>Sarafi Roland</t>
  </si>
  <si>
    <t>Sajgóné Kéri Olga</t>
  </si>
  <si>
    <t>Üveges Tünde</t>
  </si>
  <si>
    <t>Lukács Györgyné</t>
  </si>
  <si>
    <t>Remenyikné Katona Zsófia</t>
  </si>
  <si>
    <t>Kondrát Zoltán</t>
  </si>
  <si>
    <t>Almási Mónika</t>
  </si>
  <si>
    <t>Varga Krisztina</t>
  </si>
  <si>
    <t>Balogh Krisztina</t>
  </si>
  <si>
    <t>Fóris Árpádné</t>
  </si>
  <si>
    <t>Koren Csabáné</t>
  </si>
  <si>
    <t>Molnár Bernadett</t>
  </si>
  <si>
    <t>Kóródi Lászlóné</t>
  </si>
  <si>
    <t>Lelesz Eszter</t>
  </si>
  <si>
    <t>Tóth Józsefné</t>
  </si>
  <si>
    <t>Górné Veres Rita</t>
  </si>
  <si>
    <t>Fialkovics Zsoltné</t>
  </si>
  <si>
    <t>Perselyező</t>
  </si>
  <si>
    <t>Alátétező</t>
  </si>
  <si>
    <t>Fogaskerekező</t>
  </si>
  <si>
    <t>Gyűrűző</t>
  </si>
  <si>
    <t>Relérakó</t>
  </si>
  <si>
    <t>Keferakó</t>
  </si>
  <si>
    <t>Felhasználó</t>
  </si>
  <si>
    <t>2015.08.01</t>
  </si>
  <si>
    <t>Junior/helyettes</t>
  </si>
  <si>
    <t>G4186</t>
  </si>
  <si>
    <t>G2629</t>
  </si>
  <si>
    <t>G5226</t>
  </si>
  <si>
    <t>G2309</t>
  </si>
  <si>
    <t>PR1842</t>
  </si>
  <si>
    <t>TW4949</t>
  </si>
  <si>
    <t>G4687</t>
  </si>
  <si>
    <t>2015.08.02</t>
  </si>
  <si>
    <t>Górné Veress Rita</t>
  </si>
  <si>
    <t>G2582</t>
  </si>
  <si>
    <t>Pásztor Zsolt</t>
  </si>
  <si>
    <t>PR1489</t>
  </si>
  <si>
    <t>AD2507</t>
  </si>
  <si>
    <t>G3556</t>
  </si>
  <si>
    <t>Jávorszki Tamara</t>
  </si>
  <si>
    <t>G5196</t>
  </si>
  <si>
    <t>G5214</t>
  </si>
  <si>
    <t>2015.08.03</t>
  </si>
  <si>
    <t>TW3482</t>
  </si>
  <si>
    <t>TW4952</t>
  </si>
  <si>
    <t>PR1833</t>
  </si>
  <si>
    <t>2015.08.04</t>
  </si>
  <si>
    <t>Thuroczy Gergely</t>
  </si>
  <si>
    <t>2015.08.05</t>
  </si>
  <si>
    <t>2015.08.06</t>
  </si>
  <si>
    <t>2015.08.07</t>
  </si>
  <si>
    <t>2015.08.09</t>
  </si>
  <si>
    <t>2015.08.10</t>
  </si>
  <si>
    <t>2015.08.11</t>
  </si>
  <si>
    <t>2015.08.13</t>
  </si>
  <si>
    <t>2015.08.14</t>
  </si>
  <si>
    <t>2015.08.15</t>
  </si>
  <si>
    <t>2015.08.16</t>
  </si>
  <si>
    <t>2015.08.17</t>
  </si>
  <si>
    <t>2015.08.18</t>
  </si>
  <si>
    <t>Vinczéné Nemes Éva</t>
  </si>
  <si>
    <t>Budaháziné Sz.Mariann</t>
  </si>
  <si>
    <t>2015.08.19</t>
  </si>
  <si>
    <t>2015.08.21</t>
  </si>
  <si>
    <t>0600-1800</t>
  </si>
  <si>
    <t>2015.08.22</t>
  </si>
  <si>
    <t>Pintér Sándor János</t>
  </si>
  <si>
    <t>2015.08.23</t>
  </si>
  <si>
    <t>2015.08.24</t>
  </si>
  <si>
    <t>2015.08.25</t>
  </si>
  <si>
    <t>2015.08.27</t>
  </si>
  <si>
    <t>2015.08.28</t>
  </si>
  <si>
    <t>2015.08.29</t>
  </si>
  <si>
    <t>2015.08.30</t>
  </si>
  <si>
    <t>2015.08.31</t>
  </si>
</sst>
</file>

<file path=xl/styles.xml><?xml version="1.0" encoding="utf-8"?>
<styleSheet xmlns="http://schemas.openxmlformats.org/spreadsheetml/2006/main">
  <fonts count="8">
    <font>
      <sz val="10"/>
      <color theme="1"/>
      <name val="Arial"/>
      <family val="2"/>
      <charset val="238"/>
    </font>
    <font>
      <sz val="16"/>
      <color theme="1"/>
      <name val="Bosch Office Sans"/>
      <family val="2"/>
      <charset val="238"/>
    </font>
    <font>
      <b/>
      <sz val="11"/>
      <color theme="1"/>
      <name val="Arial"/>
      <family val="2"/>
      <charset val="238"/>
    </font>
    <font>
      <sz val="10"/>
      <name val="Arial"/>
      <family val="2"/>
      <charset val="238"/>
    </font>
    <font>
      <b/>
      <sz val="12"/>
      <color theme="1"/>
      <name val="Bosch Office Sans"/>
      <family val="2"/>
      <charset val="238"/>
    </font>
    <font>
      <sz val="12"/>
      <color theme="1"/>
      <name val="Bosch Office Sans"/>
      <family val="2"/>
      <charset val="238"/>
    </font>
    <font>
      <sz val="8"/>
      <color theme="1"/>
      <name val="Arial"/>
      <family val="2"/>
      <charset val="238"/>
    </font>
    <font>
      <b/>
      <sz val="11"/>
      <color rgb="FF000000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9D680"/>
        <bgColor indexed="64"/>
      </patternFill>
    </fill>
    <fill>
      <patternFill patternType="solid">
        <fgColor rgb="FFA8BAD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DC8C8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ck">
        <color auto="1"/>
      </right>
      <top style="thick">
        <color indexed="8"/>
      </top>
      <bottom style="thick">
        <color indexed="8"/>
      </bottom>
      <diagonal/>
    </border>
    <border>
      <left style="thick">
        <color auto="1"/>
      </left>
      <right style="thick">
        <color auto="1"/>
      </right>
      <top style="thick">
        <color indexed="8"/>
      </top>
      <bottom style="thick">
        <color indexed="8"/>
      </bottom>
      <diagonal/>
    </border>
    <border>
      <left/>
      <right style="thick">
        <color auto="1"/>
      </right>
      <top style="thick">
        <color indexed="8"/>
      </top>
      <bottom style="thick">
        <color indexed="8"/>
      </bottom>
      <diagonal/>
    </border>
    <border>
      <left style="thick">
        <color auto="1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/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2">
    <xf numFmtId="0" fontId="0" fillId="0" borderId="0"/>
    <xf numFmtId="0" fontId="3" fillId="0" borderId="0"/>
  </cellStyleXfs>
  <cellXfs count="50">
    <xf numFmtId="0" fontId="0" fillId="0" borderId="0" xfId="0"/>
    <xf numFmtId="0" fontId="1" fillId="0" borderId="0" xfId="0" applyFont="1" applyFill="1" applyBorder="1" applyAlignment="1" applyProtection="1">
      <alignment horizontal="center" vertical="center"/>
    </xf>
    <xf numFmtId="14" fontId="1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14" fontId="0" fillId="0" borderId="0" xfId="0" applyNumberFormat="1" applyFill="1" applyProtection="1"/>
    <xf numFmtId="0" fontId="6" fillId="0" borderId="0" xfId="0" applyFont="1" applyFill="1" applyProtection="1"/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0" fillId="3" borderId="0" xfId="0" applyFill="1" applyProtection="1"/>
    <xf numFmtId="14" fontId="0" fillId="0" borderId="0" xfId="0" applyNumberFormat="1" applyProtection="1"/>
    <xf numFmtId="0" fontId="7" fillId="4" borderId="1" xfId="0" applyFont="1" applyFill="1" applyBorder="1" applyAlignment="1" applyProtection="1">
      <alignment horizontal="center" vertical="center"/>
    </xf>
    <xf numFmtId="14" fontId="7" fillId="4" borderId="1" xfId="0" applyNumberFormat="1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/>
    </xf>
    <xf numFmtId="0" fontId="0" fillId="4" borderId="1" xfId="0" applyFont="1" applyFill="1" applyBorder="1"/>
    <xf numFmtId="0" fontId="0" fillId="4" borderId="1" xfId="0" applyFont="1" applyFill="1" applyBorder="1" applyProtection="1"/>
    <xf numFmtId="1" fontId="3" fillId="4" borderId="1" xfId="1" applyNumberFormat="1" applyFont="1" applyFill="1" applyBorder="1" applyAlignment="1" applyProtection="1">
      <alignment horizontal="left"/>
    </xf>
    <xf numFmtId="14" fontId="0" fillId="4" borderId="1" xfId="0" applyNumberFormat="1" applyFont="1" applyFill="1" applyBorder="1" applyProtection="1"/>
    <xf numFmtId="21" fontId="0" fillId="4" borderId="1" xfId="0" applyNumberFormat="1" applyFont="1" applyFill="1" applyBorder="1" applyProtection="1"/>
    <xf numFmtId="1" fontId="3" fillId="4" borderId="1" xfId="1" applyNumberFormat="1" applyFont="1" applyFill="1" applyBorder="1" applyAlignment="1" applyProtection="1"/>
    <xf numFmtId="0" fontId="0" fillId="4" borderId="1" xfId="0" applyFill="1" applyBorder="1" applyProtection="1"/>
    <xf numFmtId="1" fontId="3" fillId="4" borderId="1" xfId="1" applyNumberFormat="1" applyFont="1" applyFill="1" applyBorder="1" applyAlignment="1" applyProtection="1">
      <alignment horizontal="left" shrinkToFit="1"/>
    </xf>
    <xf numFmtId="0" fontId="0" fillId="3" borderId="1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 vertical="center"/>
    </xf>
    <xf numFmtId="14" fontId="4" fillId="0" borderId="0" xfId="0" applyNumberFormat="1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</xf>
    <xf numFmtId="0" fontId="5" fillId="2" borderId="4" xfId="0" applyFont="1" applyFill="1" applyBorder="1" applyAlignment="1" applyProtection="1">
      <alignment horizontal="center" vertical="center" wrapText="1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8" xfId="0" applyFont="1" applyFill="1" applyBorder="1" applyAlignment="1" applyProtection="1">
      <alignment horizontal="center" vertical="center"/>
    </xf>
    <xf numFmtId="0" fontId="4" fillId="0" borderId="8" xfId="0" applyFont="1" applyFill="1" applyBorder="1" applyAlignment="1" applyProtection="1">
      <alignment horizontal="center" vertical="center"/>
    </xf>
    <xf numFmtId="14" fontId="4" fillId="5" borderId="9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4" fillId="0" borderId="9" xfId="0" applyFont="1" applyFill="1" applyBorder="1" applyAlignment="1" applyProtection="1">
      <alignment horizontal="center" vertical="center"/>
    </xf>
    <xf numFmtId="14" fontId="4" fillId="6" borderId="2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center" vertical="center"/>
    </xf>
    <xf numFmtId="14" fontId="4" fillId="6" borderId="9" xfId="0" applyNumberFormat="1" applyFont="1" applyFill="1" applyBorder="1" applyAlignment="1" applyProtection="1">
      <alignment horizontal="center" vertical="center"/>
    </xf>
    <xf numFmtId="0" fontId="4" fillId="6" borderId="9" xfId="0" applyFont="1" applyFill="1" applyBorder="1" applyAlignment="1" applyProtection="1">
      <alignment horizontal="center" vertical="center"/>
    </xf>
    <xf numFmtId="14" fontId="4" fillId="7" borderId="9" xfId="0" applyNumberFormat="1" applyFont="1" applyFill="1" applyBorder="1" applyAlignment="1" applyProtection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</xf>
    <xf numFmtId="14" fontId="4" fillId="8" borderId="9" xfId="0" applyNumberFormat="1" applyFont="1" applyFill="1" applyBorder="1" applyAlignment="1" applyProtection="1">
      <alignment horizontal="center" vertical="center"/>
    </xf>
    <xf numFmtId="0" fontId="4" fillId="8" borderId="9" xfId="0" applyFont="1" applyFill="1" applyBorder="1" applyAlignment="1" applyProtection="1">
      <alignment horizontal="center" vertical="center"/>
    </xf>
  </cellXfs>
  <cellStyles count="2">
    <cellStyle name="Normál" xfId="0" builtinId="0"/>
    <cellStyle name="Normá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T82MC\AppData\Roaming\Microsoft\Excel\MFO4_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datok"/>
      <sheetName val="Igények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unka2"/>
  <dimension ref="A1:AB215"/>
  <sheetViews>
    <sheetView zoomScale="80" zoomScaleNormal="80" workbookViewId="0">
      <selection activeCell="Q22" sqref="Q22"/>
    </sheetView>
  </sheetViews>
  <sheetFormatPr defaultColWidth="9.109375" defaultRowHeight="13.2"/>
  <cols>
    <col min="1" max="1" width="18.44140625" style="10" customWidth="1"/>
    <col min="2" max="2" width="12.6640625" style="10" customWidth="1"/>
    <col min="3" max="5" width="9.109375" style="10"/>
    <col min="6" max="6" width="50.88671875" style="10" customWidth="1"/>
    <col min="7" max="7" width="25.33203125" style="10" customWidth="1"/>
    <col min="8" max="8" width="12.33203125" style="12" customWidth="1"/>
    <col min="9" max="12" width="16.44140625" style="9" customWidth="1"/>
    <col min="13" max="13" width="25.109375" style="10" customWidth="1"/>
    <col min="14" max="14" width="8.6640625" style="10" customWidth="1"/>
    <col min="15" max="15" width="3.6640625" style="10" customWidth="1"/>
    <col min="16" max="16" width="24.88671875" style="10" customWidth="1"/>
    <col min="17" max="23" width="9.109375" style="8"/>
    <col min="24" max="24" width="17.6640625" style="8" customWidth="1"/>
    <col min="25" max="28" width="9.109375" style="8"/>
    <col min="29" max="29" width="11.33203125" style="8" bestFit="1" customWidth="1"/>
    <col min="30" max="16384" width="9.109375" style="8"/>
  </cols>
  <sheetData>
    <row r="1" spans="1:28" s="6" customFormat="1" ht="27.9" customHeight="1">
      <c r="A1" s="13" t="s">
        <v>12</v>
      </c>
      <c r="B1" s="13" t="s">
        <v>13</v>
      </c>
      <c r="C1" s="13" t="s">
        <v>14</v>
      </c>
      <c r="D1" s="13" t="s">
        <v>15</v>
      </c>
      <c r="E1" s="13" t="s">
        <v>16</v>
      </c>
      <c r="F1" s="13" t="s">
        <v>17</v>
      </c>
      <c r="G1" s="13"/>
      <c r="H1" s="14"/>
      <c r="I1" s="13" t="str">
        <f>IF(A2="","",A2)</f>
        <v>06:00-18:00</v>
      </c>
      <c r="J1" s="13" t="str">
        <f>IF(A3="","",A3)</f>
        <v>18:00-06:00</v>
      </c>
      <c r="K1" s="13"/>
      <c r="L1" s="13"/>
      <c r="M1" s="15"/>
      <c r="N1" s="16"/>
      <c r="O1" s="16"/>
      <c r="R1" s="9"/>
      <c r="S1" s="10"/>
      <c r="T1" s="10"/>
      <c r="Z1" s="6" t="s">
        <v>30</v>
      </c>
      <c r="AA1" s="6" t="s">
        <v>14</v>
      </c>
      <c r="AB1" s="6" t="s">
        <v>15</v>
      </c>
    </row>
    <row r="2" spans="1:28">
      <c r="A2" s="17" t="s">
        <v>22</v>
      </c>
      <c r="B2" s="17" t="s">
        <v>7</v>
      </c>
      <c r="C2" s="17">
        <v>50</v>
      </c>
      <c r="D2" s="17">
        <v>1</v>
      </c>
      <c r="E2" s="22" t="s">
        <v>40</v>
      </c>
      <c r="F2" s="18" t="s">
        <v>18</v>
      </c>
      <c r="G2" s="22" t="s">
        <v>40</v>
      </c>
      <c r="H2" s="19">
        <v>42217</v>
      </c>
      <c r="I2" s="15" t="s">
        <v>24</v>
      </c>
      <c r="J2" s="15" t="s">
        <v>25</v>
      </c>
      <c r="K2" s="15" t="s">
        <v>27</v>
      </c>
      <c r="L2" s="15" t="s">
        <v>26</v>
      </c>
      <c r="M2" s="17" t="s">
        <v>44</v>
      </c>
      <c r="N2" s="22" t="s">
        <v>40</v>
      </c>
      <c r="O2" s="22" t="s">
        <v>24</v>
      </c>
      <c r="Q2" s="7"/>
      <c r="R2" s="9"/>
      <c r="S2" s="10"/>
      <c r="T2" s="10"/>
    </row>
    <row r="3" spans="1:28">
      <c r="A3" s="17" t="s">
        <v>23</v>
      </c>
      <c r="B3" s="17" t="s">
        <v>9</v>
      </c>
      <c r="C3" s="17">
        <v>50</v>
      </c>
      <c r="D3" s="17">
        <v>3</v>
      </c>
      <c r="E3" s="22" t="s">
        <v>41</v>
      </c>
      <c r="F3" s="18" t="s">
        <v>36</v>
      </c>
      <c r="G3" s="22" t="s">
        <v>40</v>
      </c>
      <c r="H3" s="19">
        <v>42218</v>
      </c>
      <c r="I3" s="15" t="s">
        <v>43</v>
      </c>
      <c r="J3" s="15" t="s">
        <v>26</v>
      </c>
      <c r="K3" s="15" t="s">
        <v>24</v>
      </c>
      <c r="L3" s="15" t="s">
        <v>25</v>
      </c>
      <c r="M3" s="17" t="s">
        <v>45</v>
      </c>
      <c r="N3" s="22" t="s">
        <v>40</v>
      </c>
      <c r="O3" s="22" t="s">
        <v>24</v>
      </c>
      <c r="Q3" s="7"/>
    </row>
    <row r="4" spans="1:28">
      <c r="A4" s="16"/>
      <c r="B4" s="17" t="s">
        <v>10</v>
      </c>
      <c r="C4" s="17">
        <v>50</v>
      </c>
      <c r="D4" s="17">
        <v>4</v>
      </c>
      <c r="E4" s="17"/>
      <c r="F4" s="18" t="s">
        <v>157</v>
      </c>
      <c r="G4" s="22" t="s">
        <v>40</v>
      </c>
      <c r="H4" s="19">
        <v>42219</v>
      </c>
      <c r="I4" s="15" t="s">
        <v>27</v>
      </c>
      <c r="J4" s="15" t="s">
        <v>26</v>
      </c>
      <c r="K4" s="15" t="s">
        <v>24</v>
      </c>
      <c r="L4" s="15" t="s">
        <v>25</v>
      </c>
      <c r="M4" s="17" t="s">
        <v>46</v>
      </c>
      <c r="N4" s="22" t="s">
        <v>40</v>
      </c>
      <c r="O4" s="22" t="s">
        <v>24</v>
      </c>
    </row>
    <row r="5" spans="1:28">
      <c r="A5" s="16"/>
      <c r="B5" s="17" t="s">
        <v>8</v>
      </c>
      <c r="C5" s="17">
        <v>50</v>
      </c>
      <c r="D5" s="17">
        <v>2</v>
      </c>
      <c r="E5" s="17"/>
      <c r="F5" s="18" t="s">
        <v>38</v>
      </c>
      <c r="G5" s="22" t="s">
        <v>40</v>
      </c>
      <c r="H5" s="19">
        <v>42220</v>
      </c>
      <c r="I5" s="15" t="s">
        <v>25</v>
      </c>
      <c r="J5" s="15" t="s">
        <v>24</v>
      </c>
      <c r="K5" s="15" t="s">
        <v>27</v>
      </c>
      <c r="L5" s="15" t="s">
        <v>26</v>
      </c>
      <c r="M5" s="17" t="s">
        <v>47</v>
      </c>
      <c r="N5" s="22" t="s">
        <v>40</v>
      </c>
      <c r="O5" s="22" t="s">
        <v>24</v>
      </c>
    </row>
    <row r="6" spans="1:28">
      <c r="A6" s="16"/>
      <c r="B6" s="17" t="s">
        <v>11</v>
      </c>
      <c r="C6" s="17">
        <v>50</v>
      </c>
      <c r="D6" s="17">
        <v>5</v>
      </c>
      <c r="E6" s="17"/>
      <c r="F6" s="18" t="s">
        <v>39</v>
      </c>
      <c r="G6" s="22" t="s">
        <v>40</v>
      </c>
      <c r="H6" s="19">
        <v>42221</v>
      </c>
      <c r="I6" s="15" t="s">
        <v>25</v>
      </c>
      <c r="J6" s="15" t="s">
        <v>24</v>
      </c>
      <c r="K6" s="15" t="s">
        <v>27</v>
      </c>
      <c r="L6" s="15" t="s">
        <v>26</v>
      </c>
      <c r="M6" s="17" t="s">
        <v>48</v>
      </c>
      <c r="N6" s="22" t="s">
        <v>40</v>
      </c>
      <c r="O6" s="22" t="s">
        <v>24</v>
      </c>
    </row>
    <row r="7" spans="1:28">
      <c r="A7" s="16"/>
      <c r="B7" s="17" t="s">
        <v>21</v>
      </c>
      <c r="C7" s="17">
        <v>50</v>
      </c>
      <c r="D7" s="17">
        <v>6</v>
      </c>
      <c r="E7" s="16"/>
      <c r="F7" s="18" t="s">
        <v>20</v>
      </c>
      <c r="G7" s="22" t="s">
        <v>40</v>
      </c>
      <c r="H7" s="19">
        <v>42222</v>
      </c>
      <c r="I7" s="15" t="s">
        <v>26</v>
      </c>
      <c r="J7" s="24" t="s">
        <v>27</v>
      </c>
      <c r="K7" s="15" t="s">
        <v>24</v>
      </c>
      <c r="L7" s="15" t="s">
        <v>25</v>
      </c>
      <c r="M7" s="17" t="s">
        <v>49</v>
      </c>
      <c r="N7" s="22" t="s">
        <v>40</v>
      </c>
      <c r="O7" s="22" t="s">
        <v>24</v>
      </c>
    </row>
    <row r="8" spans="1:28">
      <c r="A8" s="16"/>
      <c r="B8" s="16"/>
      <c r="C8" s="17">
        <v>50</v>
      </c>
      <c r="D8" s="17">
        <v>7</v>
      </c>
      <c r="E8" s="16"/>
      <c r="F8" s="18" t="s">
        <v>42</v>
      </c>
      <c r="G8" s="22" t="s">
        <v>40</v>
      </c>
      <c r="H8" s="19">
        <v>42223</v>
      </c>
      <c r="I8" s="24" t="s">
        <v>26</v>
      </c>
      <c r="J8" s="15" t="s">
        <v>27</v>
      </c>
      <c r="K8" s="15" t="s">
        <v>24</v>
      </c>
      <c r="L8" s="15" t="s">
        <v>25</v>
      </c>
      <c r="M8" s="17" t="s">
        <v>50</v>
      </c>
      <c r="N8" s="22" t="s">
        <v>40</v>
      </c>
      <c r="O8" s="22" t="s">
        <v>24</v>
      </c>
    </row>
    <row r="9" spans="1:28">
      <c r="A9" s="20"/>
      <c r="B9" s="16"/>
      <c r="C9" s="17">
        <v>50</v>
      </c>
      <c r="D9" s="17">
        <v>8</v>
      </c>
      <c r="E9" s="16"/>
      <c r="F9" s="18" t="s">
        <v>19</v>
      </c>
      <c r="G9" s="22" t="s">
        <v>40</v>
      </c>
      <c r="H9" s="19">
        <v>42224</v>
      </c>
      <c r="I9" s="15" t="s">
        <v>24</v>
      </c>
      <c r="J9" s="15" t="s">
        <v>25</v>
      </c>
      <c r="K9" s="15" t="s">
        <v>27</v>
      </c>
      <c r="L9" s="15" t="s">
        <v>26</v>
      </c>
      <c r="M9" s="17" t="s">
        <v>51</v>
      </c>
      <c r="N9" s="22" t="s">
        <v>40</v>
      </c>
      <c r="O9" s="22" t="s">
        <v>24</v>
      </c>
    </row>
    <row r="10" spans="1:28">
      <c r="A10" s="16"/>
      <c r="B10" s="16"/>
      <c r="C10" s="17">
        <v>50</v>
      </c>
      <c r="D10" s="17">
        <v>9</v>
      </c>
      <c r="E10" s="16"/>
      <c r="F10" s="18" t="s">
        <v>158</v>
      </c>
      <c r="G10" s="18" t="s">
        <v>40</v>
      </c>
      <c r="H10" s="19">
        <v>42225</v>
      </c>
      <c r="I10" s="15" t="s">
        <v>24</v>
      </c>
      <c r="J10" s="15" t="s">
        <v>25</v>
      </c>
      <c r="K10" s="15" t="s">
        <v>27</v>
      </c>
      <c r="L10" s="15" t="s">
        <v>26</v>
      </c>
      <c r="M10" s="17" t="s">
        <v>52</v>
      </c>
      <c r="N10" s="22" t="s">
        <v>40</v>
      </c>
      <c r="O10" s="22" t="s">
        <v>24</v>
      </c>
    </row>
    <row r="11" spans="1:28">
      <c r="A11" s="16"/>
      <c r="B11" s="16"/>
      <c r="C11" s="17">
        <v>50</v>
      </c>
      <c r="D11" s="17">
        <v>10</v>
      </c>
      <c r="E11" s="16"/>
      <c r="F11" s="18" t="s">
        <v>160</v>
      </c>
      <c r="G11" s="22" t="s">
        <v>40</v>
      </c>
      <c r="H11" s="19">
        <v>42226</v>
      </c>
      <c r="I11" s="15" t="s">
        <v>43</v>
      </c>
      <c r="J11" s="15" t="s">
        <v>26</v>
      </c>
      <c r="K11" s="15" t="s">
        <v>24</v>
      </c>
      <c r="L11" s="15" t="s">
        <v>25</v>
      </c>
      <c r="M11" s="17" t="s">
        <v>53</v>
      </c>
      <c r="N11" s="22" t="s">
        <v>40</v>
      </c>
      <c r="O11" s="22" t="s">
        <v>24</v>
      </c>
    </row>
    <row r="12" spans="1:28">
      <c r="A12" s="16"/>
      <c r="B12" s="16"/>
      <c r="C12" s="17">
        <v>50</v>
      </c>
      <c r="D12" s="17">
        <v>11</v>
      </c>
      <c r="E12" s="16"/>
      <c r="F12" s="18" t="s">
        <v>159</v>
      </c>
      <c r="G12" s="18" t="s">
        <v>40</v>
      </c>
      <c r="H12" s="19">
        <v>42227</v>
      </c>
      <c r="I12" s="15" t="s">
        <v>27</v>
      </c>
      <c r="J12" s="15" t="s">
        <v>26</v>
      </c>
      <c r="K12" s="15" t="s">
        <v>24</v>
      </c>
      <c r="L12" s="15" t="s">
        <v>25</v>
      </c>
      <c r="M12" s="17" t="s">
        <v>54</v>
      </c>
      <c r="N12" s="22" t="s">
        <v>40</v>
      </c>
      <c r="O12" s="22" t="s">
        <v>24</v>
      </c>
    </row>
    <row r="13" spans="1:28">
      <c r="A13" s="16"/>
      <c r="B13" s="16"/>
      <c r="C13" s="17">
        <v>50</v>
      </c>
      <c r="D13" s="17">
        <v>12</v>
      </c>
      <c r="E13" s="16"/>
      <c r="F13" s="18" t="s">
        <v>161</v>
      </c>
      <c r="G13" s="22" t="s">
        <v>40</v>
      </c>
      <c r="H13" s="19">
        <v>42228</v>
      </c>
      <c r="I13" s="15" t="s">
        <v>25</v>
      </c>
      <c r="J13" s="24" t="s">
        <v>24</v>
      </c>
      <c r="K13" s="15" t="s">
        <v>27</v>
      </c>
      <c r="L13" s="15" t="s">
        <v>26</v>
      </c>
      <c r="M13" s="17" t="s">
        <v>55</v>
      </c>
      <c r="N13" s="22" t="s">
        <v>40</v>
      </c>
      <c r="O13" s="22" t="s">
        <v>24</v>
      </c>
    </row>
    <row r="14" spans="1:28">
      <c r="A14" s="16"/>
      <c r="B14" s="16"/>
      <c r="C14" s="17">
        <v>50</v>
      </c>
      <c r="D14" s="17">
        <v>13</v>
      </c>
      <c r="E14" s="16"/>
      <c r="F14" s="18" t="s">
        <v>18</v>
      </c>
      <c r="G14" s="22" t="s">
        <v>41</v>
      </c>
      <c r="H14" s="19">
        <v>42229</v>
      </c>
      <c r="I14" s="24" t="s">
        <v>25</v>
      </c>
      <c r="J14" s="15" t="s">
        <v>24</v>
      </c>
      <c r="K14" s="15" t="s">
        <v>27</v>
      </c>
      <c r="L14" s="15" t="s">
        <v>26</v>
      </c>
      <c r="M14" s="17" t="s">
        <v>56</v>
      </c>
      <c r="N14" s="22" t="s">
        <v>40</v>
      </c>
      <c r="O14" s="22" t="s">
        <v>24</v>
      </c>
    </row>
    <row r="15" spans="1:28">
      <c r="A15" s="16"/>
      <c r="B15" s="16"/>
      <c r="C15" s="17">
        <v>50</v>
      </c>
      <c r="D15" s="17">
        <v>14</v>
      </c>
      <c r="E15" s="16"/>
      <c r="F15" s="18" t="s">
        <v>35</v>
      </c>
      <c r="G15" s="22" t="s">
        <v>41</v>
      </c>
      <c r="H15" s="19">
        <v>42230</v>
      </c>
      <c r="I15" s="15" t="s">
        <v>26</v>
      </c>
      <c r="J15" s="15" t="s">
        <v>27</v>
      </c>
      <c r="K15" s="15" t="s">
        <v>24</v>
      </c>
      <c r="L15" s="15" t="s">
        <v>25</v>
      </c>
      <c r="M15" s="17" t="s">
        <v>57</v>
      </c>
      <c r="N15" s="22" t="s">
        <v>40</v>
      </c>
      <c r="O15" s="22" t="s">
        <v>24</v>
      </c>
    </row>
    <row r="16" spans="1:28">
      <c r="A16" s="16"/>
      <c r="B16" s="16"/>
      <c r="C16" s="17">
        <v>50</v>
      </c>
      <c r="D16" s="17">
        <v>15</v>
      </c>
      <c r="E16" s="16"/>
      <c r="F16" s="18" t="s">
        <v>20</v>
      </c>
      <c r="G16" s="22" t="s">
        <v>41</v>
      </c>
      <c r="H16" s="19">
        <v>42231</v>
      </c>
      <c r="I16" s="15" t="s">
        <v>26</v>
      </c>
      <c r="J16" s="15" t="s">
        <v>27</v>
      </c>
      <c r="K16" s="15" t="s">
        <v>24</v>
      </c>
      <c r="L16" s="15" t="s">
        <v>25</v>
      </c>
      <c r="M16" s="17" t="s">
        <v>58</v>
      </c>
      <c r="N16" s="22" t="s">
        <v>40</v>
      </c>
      <c r="O16" s="22" t="s">
        <v>24</v>
      </c>
    </row>
    <row r="17" spans="1:20">
      <c r="A17" s="16"/>
      <c r="B17" s="16"/>
      <c r="C17" s="17">
        <v>50</v>
      </c>
      <c r="D17" s="17">
        <v>16</v>
      </c>
      <c r="E17" s="16"/>
      <c r="F17" s="18" t="s">
        <v>156</v>
      </c>
      <c r="G17" s="22" t="s">
        <v>41</v>
      </c>
      <c r="H17" s="19">
        <v>42232</v>
      </c>
      <c r="I17" s="15" t="s">
        <v>24</v>
      </c>
      <c r="J17" s="15" t="s">
        <v>25</v>
      </c>
      <c r="K17" s="15" t="s">
        <v>27</v>
      </c>
      <c r="L17" s="15" t="s">
        <v>26</v>
      </c>
      <c r="M17" s="17" t="s">
        <v>59</v>
      </c>
      <c r="N17" s="22" t="s">
        <v>40</v>
      </c>
      <c r="O17" s="22" t="s">
        <v>24</v>
      </c>
    </row>
    <row r="18" spans="1:20">
      <c r="A18" s="16"/>
      <c r="B18" s="16"/>
      <c r="C18" s="17">
        <v>50</v>
      </c>
      <c r="D18" s="17">
        <v>17</v>
      </c>
      <c r="E18" s="16"/>
      <c r="F18" s="18"/>
      <c r="G18" s="18"/>
      <c r="H18" s="19">
        <v>42233</v>
      </c>
      <c r="I18" s="15" t="s">
        <v>24</v>
      </c>
      <c r="J18" s="15" t="s">
        <v>25</v>
      </c>
      <c r="K18" s="15" t="s">
        <v>27</v>
      </c>
      <c r="L18" s="15" t="s">
        <v>26</v>
      </c>
      <c r="M18" s="17" t="s">
        <v>60</v>
      </c>
      <c r="N18" s="22" t="s">
        <v>40</v>
      </c>
      <c r="O18" s="22" t="s">
        <v>24</v>
      </c>
    </row>
    <row r="19" spans="1:20">
      <c r="A19" s="16"/>
      <c r="B19" s="16"/>
      <c r="C19" s="17">
        <v>50</v>
      </c>
      <c r="D19" s="17">
        <v>18</v>
      </c>
      <c r="E19" s="16"/>
      <c r="F19" s="21"/>
      <c r="G19" s="17"/>
      <c r="H19" s="19">
        <v>42234</v>
      </c>
      <c r="I19" s="15" t="s">
        <v>43</v>
      </c>
      <c r="J19" s="15" t="s">
        <v>26</v>
      </c>
      <c r="K19" s="15" t="s">
        <v>24</v>
      </c>
      <c r="L19" s="15" t="s">
        <v>25</v>
      </c>
      <c r="M19" s="17" t="s">
        <v>61</v>
      </c>
      <c r="N19" s="22" t="s">
        <v>40</v>
      </c>
      <c r="O19" s="22" t="s">
        <v>24</v>
      </c>
    </row>
    <row r="20" spans="1:20">
      <c r="A20" s="16"/>
      <c r="B20" s="16"/>
      <c r="C20" s="17">
        <v>50</v>
      </c>
      <c r="D20" s="17">
        <v>19</v>
      </c>
      <c r="E20" s="16"/>
      <c r="F20" s="18"/>
      <c r="G20" s="17"/>
      <c r="H20" s="19">
        <v>42235</v>
      </c>
      <c r="I20" s="15" t="s">
        <v>27</v>
      </c>
      <c r="J20" s="15" t="s">
        <v>26</v>
      </c>
      <c r="K20" s="15" t="s">
        <v>24</v>
      </c>
      <c r="L20" s="15" t="s">
        <v>25</v>
      </c>
      <c r="M20" s="17" t="s">
        <v>62</v>
      </c>
      <c r="N20" s="22" t="s">
        <v>40</v>
      </c>
      <c r="O20" s="22" t="s">
        <v>24</v>
      </c>
    </row>
    <row r="21" spans="1:20">
      <c r="A21" s="16"/>
      <c r="B21" s="16"/>
      <c r="C21" s="17">
        <v>50</v>
      </c>
      <c r="D21" s="17">
        <v>20</v>
      </c>
      <c r="E21" s="16"/>
      <c r="F21" s="18"/>
      <c r="G21" s="17"/>
      <c r="H21" s="19">
        <v>42236</v>
      </c>
      <c r="I21" s="24" t="s">
        <v>25</v>
      </c>
      <c r="J21" s="24" t="s">
        <v>24</v>
      </c>
      <c r="K21" s="15" t="s">
        <v>27</v>
      </c>
      <c r="L21" s="15" t="s">
        <v>26</v>
      </c>
      <c r="M21" s="17" t="s">
        <v>63</v>
      </c>
      <c r="N21" s="22" t="s">
        <v>40</v>
      </c>
      <c r="O21" s="22" t="s">
        <v>25</v>
      </c>
    </row>
    <row r="22" spans="1:20">
      <c r="A22" s="16"/>
      <c r="B22" s="16"/>
      <c r="C22" s="17">
        <v>50</v>
      </c>
      <c r="D22" s="17">
        <v>21</v>
      </c>
      <c r="E22" s="16"/>
      <c r="F22" s="18"/>
      <c r="G22" s="22"/>
      <c r="H22" s="19">
        <v>42237</v>
      </c>
      <c r="I22" s="24" t="s">
        <v>25</v>
      </c>
      <c r="J22" s="15" t="s">
        <v>24</v>
      </c>
      <c r="K22" s="15" t="s">
        <v>27</v>
      </c>
      <c r="L22" s="15" t="s">
        <v>26</v>
      </c>
      <c r="M22" s="17" t="s">
        <v>64</v>
      </c>
      <c r="N22" s="22" t="s">
        <v>40</v>
      </c>
      <c r="O22" s="22" t="s">
        <v>25</v>
      </c>
    </row>
    <row r="23" spans="1:20">
      <c r="A23" s="16"/>
      <c r="B23" s="16"/>
      <c r="C23" s="17">
        <v>50</v>
      </c>
      <c r="D23" s="17">
        <v>22</v>
      </c>
      <c r="E23" s="16"/>
      <c r="F23" s="18"/>
      <c r="G23" s="17"/>
      <c r="H23" s="19">
        <v>42238</v>
      </c>
      <c r="I23" s="15" t="s">
        <v>26</v>
      </c>
      <c r="J23" s="15" t="s">
        <v>27</v>
      </c>
      <c r="K23" s="15" t="s">
        <v>24</v>
      </c>
      <c r="L23" s="15" t="s">
        <v>25</v>
      </c>
      <c r="M23" s="17" t="s">
        <v>65</v>
      </c>
      <c r="N23" s="22" t="s">
        <v>40</v>
      </c>
      <c r="O23" s="22" t="s">
        <v>25</v>
      </c>
    </row>
    <row r="24" spans="1:20">
      <c r="A24" s="16"/>
      <c r="B24" s="16"/>
      <c r="C24" s="17">
        <v>50</v>
      </c>
      <c r="D24" s="17">
        <v>23</v>
      </c>
      <c r="E24" s="16"/>
      <c r="F24" s="18"/>
      <c r="G24" s="17"/>
      <c r="H24" s="19">
        <v>42239</v>
      </c>
      <c r="I24" s="15" t="s">
        <v>26</v>
      </c>
      <c r="J24" s="15" t="s">
        <v>27</v>
      </c>
      <c r="K24" s="15" t="s">
        <v>24</v>
      </c>
      <c r="L24" s="15" t="s">
        <v>25</v>
      </c>
      <c r="M24" s="17" t="s">
        <v>66</v>
      </c>
      <c r="N24" s="22" t="s">
        <v>40</v>
      </c>
      <c r="O24" s="22" t="s">
        <v>25</v>
      </c>
    </row>
    <row r="25" spans="1:20">
      <c r="A25" s="16"/>
      <c r="B25" s="16"/>
      <c r="C25" s="17">
        <v>50</v>
      </c>
      <c r="D25" s="17">
        <v>24</v>
      </c>
      <c r="E25" s="16"/>
      <c r="F25" s="18"/>
      <c r="G25" s="22"/>
      <c r="H25" s="19">
        <v>42240</v>
      </c>
      <c r="I25" s="15" t="s">
        <v>24</v>
      </c>
      <c r="J25" s="15" t="s">
        <v>25</v>
      </c>
      <c r="K25" s="15" t="s">
        <v>27</v>
      </c>
      <c r="L25" s="15" t="s">
        <v>26</v>
      </c>
      <c r="M25" s="17" t="s">
        <v>67</v>
      </c>
      <c r="N25" s="22" t="s">
        <v>40</v>
      </c>
      <c r="O25" s="22" t="s">
        <v>25</v>
      </c>
    </row>
    <row r="26" spans="1:20">
      <c r="A26" s="16"/>
      <c r="B26" s="16"/>
      <c r="C26" s="17">
        <v>50</v>
      </c>
      <c r="D26" s="17">
        <v>25</v>
      </c>
      <c r="E26" s="16"/>
      <c r="F26" s="17"/>
      <c r="G26" s="17"/>
      <c r="H26" s="19">
        <v>42241</v>
      </c>
      <c r="I26" s="15" t="s">
        <v>24</v>
      </c>
      <c r="J26" s="15" t="s">
        <v>25</v>
      </c>
      <c r="K26" s="15" t="s">
        <v>27</v>
      </c>
      <c r="L26" s="15" t="s">
        <v>26</v>
      </c>
      <c r="M26" s="17" t="s">
        <v>68</v>
      </c>
      <c r="N26" s="22" t="s">
        <v>40</v>
      </c>
      <c r="O26" s="22" t="s">
        <v>25</v>
      </c>
    </row>
    <row r="27" spans="1:20">
      <c r="A27" s="16"/>
      <c r="B27" s="16"/>
      <c r="C27" s="17">
        <v>50</v>
      </c>
      <c r="D27" s="17">
        <v>26</v>
      </c>
      <c r="E27" s="16"/>
      <c r="F27" s="17"/>
      <c r="G27" s="17"/>
      <c r="H27" s="19">
        <v>42242</v>
      </c>
      <c r="I27" s="15" t="s">
        <v>43</v>
      </c>
      <c r="J27" s="24" t="s">
        <v>26</v>
      </c>
      <c r="K27" s="15" t="s">
        <v>24</v>
      </c>
      <c r="L27" s="15" t="s">
        <v>25</v>
      </c>
      <c r="M27" s="17" t="s">
        <v>69</v>
      </c>
      <c r="N27" s="22" t="s">
        <v>40</v>
      </c>
      <c r="O27" s="22" t="s">
        <v>25</v>
      </c>
    </row>
    <row r="28" spans="1:20">
      <c r="A28" s="16"/>
      <c r="B28" s="16"/>
      <c r="C28" s="17">
        <v>50</v>
      </c>
      <c r="D28" s="17">
        <v>27</v>
      </c>
      <c r="E28" s="16"/>
      <c r="F28" s="17"/>
      <c r="G28" s="17"/>
      <c r="H28" s="19">
        <v>42243</v>
      </c>
      <c r="I28" s="24" t="s">
        <v>27</v>
      </c>
      <c r="J28" s="15" t="s">
        <v>26</v>
      </c>
      <c r="K28" s="15" t="s">
        <v>24</v>
      </c>
      <c r="L28" s="15" t="s">
        <v>25</v>
      </c>
      <c r="M28" s="17" t="s">
        <v>70</v>
      </c>
      <c r="N28" s="22" t="s">
        <v>40</v>
      </c>
      <c r="O28" s="22" t="s">
        <v>25</v>
      </c>
    </row>
    <row r="29" spans="1:20">
      <c r="A29" s="16"/>
      <c r="B29" s="16"/>
      <c r="C29" s="17">
        <v>50</v>
      </c>
      <c r="D29" s="17">
        <v>28</v>
      </c>
      <c r="E29" s="16"/>
      <c r="F29" s="18"/>
      <c r="G29" s="17"/>
      <c r="H29" s="19">
        <v>42244</v>
      </c>
      <c r="I29" s="15" t="s">
        <v>25</v>
      </c>
      <c r="J29" s="15" t="s">
        <v>24</v>
      </c>
      <c r="K29" s="15" t="s">
        <v>27</v>
      </c>
      <c r="L29" s="15" t="s">
        <v>26</v>
      </c>
      <c r="M29" s="17" t="s">
        <v>71</v>
      </c>
      <c r="N29" s="22" t="s">
        <v>40</v>
      </c>
      <c r="O29" s="22" t="s">
        <v>25</v>
      </c>
    </row>
    <row r="30" spans="1:20">
      <c r="A30" s="16"/>
      <c r="B30" s="16"/>
      <c r="C30" s="17">
        <v>50</v>
      </c>
      <c r="D30" s="17">
        <v>29</v>
      </c>
      <c r="E30" s="16"/>
      <c r="F30" s="17"/>
      <c r="G30" s="17"/>
      <c r="H30" s="19">
        <v>42245</v>
      </c>
      <c r="I30" s="15" t="s">
        <v>25</v>
      </c>
      <c r="J30" s="15" t="s">
        <v>24</v>
      </c>
      <c r="K30" s="15" t="s">
        <v>27</v>
      </c>
      <c r="L30" s="15" t="s">
        <v>26</v>
      </c>
      <c r="M30" s="17" t="s">
        <v>72</v>
      </c>
      <c r="N30" s="22" t="s">
        <v>40</v>
      </c>
      <c r="O30" s="22" t="s">
        <v>25</v>
      </c>
    </row>
    <row r="31" spans="1:20">
      <c r="A31" s="16"/>
      <c r="B31" s="16"/>
      <c r="C31" s="17">
        <v>50</v>
      </c>
      <c r="D31" s="17">
        <v>30</v>
      </c>
      <c r="E31" s="16"/>
      <c r="F31" s="17"/>
      <c r="G31" s="17"/>
      <c r="H31" s="19">
        <v>42246</v>
      </c>
      <c r="I31" s="15" t="s">
        <v>26</v>
      </c>
      <c r="J31" s="15" t="s">
        <v>27</v>
      </c>
      <c r="K31" s="15" t="s">
        <v>24</v>
      </c>
      <c r="L31" s="15" t="s">
        <v>25</v>
      </c>
      <c r="M31" s="17" t="s">
        <v>73</v>
      </c>
      <c r="N31" s="22" t="s">
        <v>40</v>
      </c>
      <c r="O31" s="22" t="s">
        <v>25</v>
      </c>
      <c r="R31" s="10"/>
    </row>
    <row r="32" spans="1:20">
      <c r="A32" s="16"/>
      <c r="B32" s="16"/>
      <c r="C32" s="17">
        <v>50</v>
      </c>
      <c r="D32" s="17">
        <v>31</v>
      </c>
      <c r="E32" s="16"/>
      <c r="F32" s="17"/>
      <c r="G32" s="17"/>
      <c r="H32" s="19">
        <v>42247</v>
      </c>
      <c r="I32" s="15" t="s">
        <v>26</v>
      </c>
      <c r="J32" s="15" t="s">
        <v>27</v>
      </c>
      <c r="K32" s="15" t="s">
        <v>24</v>
      </c>
      <c r="L32" s="15" t="s">
        <v>25</v>
      </c>
      <c r="M32" s="17" t="s">
        <v>74</v>
      </c>
      <c r="N32" s="22" t="s">
        <v>40</v>
      </c>
      <c r="O32" s="22" t="s">
        <v>25</v>
      </c>
      <c r="R32" s="10"/>
      <c r="S32" s="10"/>
      <c r="T32" s="10"/>
    </row>
    <row r="33" spans="1:27">
      <c r="A33" s="16"/>
      <c r="B33" s="16"/>
      <c r="C33" s="17">
        <v>50</v>
      </c>
      <c r="D33" s="17">
        <v>32</v>
      </c>
      <c r="E33" s="16"/>
      <c r="F33" s="17"/>
      <c r="G33" s="17"/>
      <c r="H33" s="19">
        <v>42248</v>
      </c>
      <c r="I33" s="15"/>
      <c r="J33" s="15"/>
      <c r="K33" s="15"/>
      <c r="L33" s="15"/>
      <c r="M33" s="17" t="s">
        <v>75</v>
      </c>
      <c r="N33" s="22" t="s">
        <v>40</v>
      </c>
      <c r="O33" s="22" t="s">
        <v>25</v>
      </c>
      <c r="R33" s="10"/>
      <c r="S33" s="10"/>
      <c r="T33" s="10"/>
    </row>
    <row r="34" spans="1:27">
      <c r="A34" s="16"/>
      <c r="B34" s="16"/>
      <c r="C34" s="17">
        <v>50</v>
      </c>
      <c r="D34" s="17">
        <v>33</v>
      </c>
      <c r="E34" s="16"/>
      <c r="F34" s="17"/>
      <c r="G34" s="17"/>
      <c r="H34" s="19">
        <v>42249</v>
      </c>
      <c r="I34" s="15"/>
      <c r="J34" s="15"/>
      <c r="K34" s="15"/>
      <c r="L34" s="15"/>
      <c r="M34" s="17" t="s">
        <v>76</v>
      </c>
      <c r="N34" s="22" t="s">
        <v>40</v>
      </c>
      <c r="O34" s="22" t="s">
        <v>25</v>
      </c>
    </row>
    <row r="35" spans="1:27">
      <c r="A35" s="16"/>
      <c r="B35" s="16"/>
      <c r="C35" s="17">
        <v>50</v>
      </c>
      <c r="D35" s="17">
        <v>34</v>
      </c>
      <c r="E35" s="16"/>
      <c r="F35" s="17"/>
      <c r="G35" s="17"/>
      <c r="H35" s="19">
        <v>42250</v>
      </c>
      <c r="I35" s="15"/>
      <c r="J35" s="15"/>
      <c r="K35" s="15"/>
      <c r="L35" s="15"/>
      <c r="M35" s="17" t="s">
        <v>77</v>
      </c>
      <c r="N35" s="22" t="s">
        <v>40</v>
      </c>
      <c r="O35" s="22" t="s">
        <v>25</v>
      </c>
    </row>
    <row r="36" spans="1:27">
      <c r="A36" s="16"/>
      <c r="B36" s="16"/>
      <c r="C36" s="17">
        <v>50</v>
      </c>
      <c r="D36" s="17">
        <v>35</v>
      </c>
      <c r="E36" s="16"/>
      <c r="F36" s="18"/>
      <c r="G36" s="17"/>
      <c r="H36" s="19">
        <v>42251</v>
      </c>
      <c r="I36" s="15"/>
      <c r="J36" s="15"/>
      <c r="K36" s="15"/>
      <c r="L36" s="15"/>
      <c r="M36" s="17" t="s">
        <v>78</v>
      </c>
      <c r="N36" s="22" t="s">
        <v>40</v>
      </c>
      <c r="O36" s="22" t="s">
        <v>25</v>
      </c>
    </row>
    <row r="37" spans="1:27">
      <c r="A37" s="16"/>
      <c r="B37" s="16"/>
      <c r="C37" s="17">
        <v>50</v>
      </c>
      <c r="D37" s="17">
        <v>36</v>
      </c>
      <c r="E37" s="16"/>
      <c r="F37" s="18"/>
      <c r="G37" s="17"/>
      <c r="H37" s="19">
        <v>42252</v>
      </c>
      <c r="I37" s="15"/>
      <c r="J37" s="15"/>
      <c r="K37" s="15"/>
      <c r="L37" s="15"/>
      <c r="M37" s="17" t="s">
        <v>79</v>
      </c>
      <c r="N37" s="22" t="s">
        <v>40</v>
      </c>
      <c r="O37" s="22" t="s">
        <v>25</v>
      </c>
    </row>
    <row r="38" spans="1:27">
      <c r="A38" s="16"/>
      <c r="B38" s="16"/>
      <c r="C38" s="17">
        <v>50</v>
      </c>
      <c r="D38" s="17">
        <v>37</v>
      </c>
      <c r="E38" s="16"/>
      <c r="F38" s="17"/>
      <c r="G38" s="17"/>
      <c r="H38" s="19">
        <v>42253</v>
      </c>
      <c r="I38" s="15"/>
      <c r="J38" s="15"/>
      <c r="K38" s="15"/>
      <c r="L38" s="15"/>
      <c r="M38" s="17" t="s">
        <v>80</v>
      </c>
      <c r="N38" s="22" t="s">
        <v>40</v>
      </c>
      <c r="O38" s="22" t="s">
        <v>25</v>
      </c>
      <c r="X38" s="10"/>
      <c r="Y38" s="10"/>
      <c r="Z38" s="10"/>
      <c r="AA38" s="10"/>
    </row>
    <row r="39" spans="1:27">
      <c r="A39" s="16"/>
      <c r="B39" s="16"/>
      <c r="C39" s="17">
        <v>50</v>
      </c>
      <c r="D39" s="17">
        <v>38</v>
      </c>
      <c r="E39" s="16"/>
      <c r="F39" s="23"/>
      <c r="G39" s="17"/>
      <c r="H39" s="19">
        <v>42254</v>
      </c>
      <c r="I39" s="15"/>
      <c r="J39" s="15"/>
      <c r="K39" s="15"/>
      <c r="L39" s="15"/>
      <c r="M39" s="17" t="s">
        <v>81</v>
      </c>
      <c r="N39" s="22" t="s">
        <v>40</v>
      </c>
      <c r="O39" s="22" t="s">
        <v>25</v>
      </c>
      <c r="X39" s="10"/>
      <c r="Y39" s="10"/>
      <c r="Z39" s="10"/>
      <c r="AA39" s="10"/>
    </row>
    <row r="40" spans="1:27">
      <c r="A40" s="16"/>
      <c r="B40" s="16"/>
      <c r="C40" s="17">
        <v>50</v>
      </c>
      <c r="D40" s="17">
        <v>39</v>
      </c>
      <c r="E40" s="16"/>
      <c r="F40" s="16"/>
      <c r="G40" s="17"/>
      <c r="H40" s="19">
        <v>42255</v>
      </c>
      <c r="I40" s="15"/>
      <c r="J40" s="15"/>
      <c r="K40" s="15"/>
      <c r="L40" s="15"/>
      <c r="M40" s="17" t="s">
        <v>82</v>
      </c>
      <c r="N40" s="22" t="s">
        <v>40</v>
      </c>
      <c r="O40" s="22" t="s">
        <v>27</v>
      </c>
      <c r="X40" s="10"/>
      <c r="Y40" s="10"/>
      <c r="Z40" s="10"/>
      <c r="AA40" s="10"/>
    </row>
    <row r="41" spans="1:27">
      <c r="A41" s="16"/>
      <c r="B41" s="16"/>
      <c r="C41" s="17">
        <v>50</v>
      </c>
      <c r="D41" s="17">
        <v>40</v>
      </c>
      <c r="E41" s="16"/>
      <c r="F41" s="16"/>
      <c r="G41" s="17"/>
      <c r="H41" s="19">
        <v>42256</v>
      </c>
      <c r="I41" s="15"/>
      <c r="J41" s="15"/>
      <c r="K41" s="15"/>
      <c r="L41" s="15"/>
      <c r="M41" s="17" t="s">
        <v>83</v>
      </c>
      <c r="N41" s="22" t="s">
        <v>40</v>
      </c>
      <c r="O41" s="22" t="s">
        <v>27</v>
      </c>
      <c r="Z41" s="10"/>
      <c r="AA41" s="10"/>
    </row>
    <row r="42" spans="1:27">
      <c r="A42" s="16"/>
      <c r="B42" s="16"/>
      <c r="C42" s="17">
        <v>50</v>
      </c>
      <c r="D42" s="17">
        <v>41</v>
      </c>
      <c r="E42" s="16"/>
      <c r="F42" s="16"/>
      <c r="G42" s="17"/>
      <c r="H42" s="19">
        <v>42257</v>
      </c>
      <c r="I42" s="15"/>
      <c r="J42" s="15"/>
      <c r="K42" s="15"/>
      <c r="L42" s="15"/>
      <c r="M42" s="17" t="s">
        <v>84</v>
      </c>
      <c r="N42" s="22" t="s">
        <v>40</v>
      </c>
      <c r="O42" s="22" t="s">
        <v>27</v>
      </c>
      <c r="Z42" s="10"/>
      <c r="AA42" s="10"/>
    </row>
    <row r="43" spans="1:27">
      <c r="A43" s="16"/>
      <c r="B43" s="16"/>
      <c r="C43" s="17">
        <v>50</v>
      </c>
      <c r="D43" s="17">
        <v>42</v>
      </c>
      <c r="E43" s="16"/>
      <c r="F43" s="16"/>
      <c r="G43" s="17"/>
      <c r="H43" s="19">
        <v>42258</v>
      </c>
      <c r="I43" s="15"/>
      <c r="J43" s="15"/>
      <c r="K43" s="15"/>
      <c r="L43" s="15"/>
      <c r="M43" s="17" t="s">
        <v>85</v>
      </c>
      <c r="N43" s="22" t="s">
        <v>40</v>
      </c>
      <c r="O43" s="22" t="s">
        <v>27</v>
      </c>
      <c r="X43" s="10"/>
      <c r="Y43" s="10"/>
      <c r="Z43" s="10"/>
      <c r="AA43" s="10"/>
    </row>
    <row r="44" spans="1:27">
      <c r="A44" s="16"/>
      <c r="B44" s="16"/>
      <c r="C44" s="17">
        <v>50</v>
      </c>
      <c r="D44" s="17">
        <v>43</v>
      </c>
      <c r="E44" s="16"/>
      <c r="F44" s="16"/>
      <c r="G44" s="17"/>
      <c r="H44" s="19">
        <v>42259</v>
      </c>
      <c r="I44" s="15"/>
      <c r="J44" s="15"/>
      <c r="K44" s="15"/>
      <c r="L44" s="15"/>
      <c r="M44" s="17" t="s">
        <v>86</v>
      </c>
      <c r="N44" s="22" t="s">
        <v>40</v>
      </c>
      <c r="O44" s="22" t="s">
        <v>27</v>
      </c>
      <c r="X44" s="10"/>
      <c r="Y44" s="10"/>
      <c r="Z44" s="10"/>
      <c r="AA44" s="10"/>
    </row>
    <row r="45" spans="1:27">
      <c r="A45" s="16"/>
      <c r="B45" s="16"/>
      <c r="C45" s="17">
        <v>50</v>
      </c>
      <c r="D45" s="17">
        <v>44</v>
      </c>
      <c r="E45" s="16"/>
      <c r="F45" s="16"/>
      <c r="G45" s="17"/>
      <c r="H45" s="19">
        <v>42260</v>
      </c>
      <c r="I45" s="15"/>
      <c r="J45" s="15"/>
      <c r="K45" s="15"/>
      <c r="L45" s="15"/>
      <c r="M45" s="17" t="s">
        <v>87</v>
      </c>
      <c r="N45" s="22" t="s">
        <v>40</v>
      </c>
      <c r="O45" s="22" t="s">
        <v>27</v>
      </c>
      <c r="X45" s="10"/>
      <c r="Y45" s="10"/>
      <c r="Z45" s="10"/>
      <c r="AA45" s="10"/>
    </row>
    <row r="46" spans="1:27">
      <c r="A46" s="16"/>
      <c r="B46" s="16"/>
      <c r="C46" s="17">
        <v>50</v>
      </c>
      <c r="D46" s="17">
        <v>45</v>
      </c>
      <c r="E46" s="16"/>
      <c r="F46" s="16"/>
      <c r="G46" s="17"/>
      <c r="H46" s="19">
        <v>42261</v>
      </c>
      <c r="I46" s="15"/>
      <c r="J46" s="15"/>
      <c r="K46" s="15"/>
      <c r="L46" s="15"/>
      <c r="M46" s="17" t="s">
        <v>88</v>
      </c>
      <c r="N46" s="22" t="s">
        <v>40</v>
      </c>
      <c r="O46" s="22" t="s">
        <v>27</v>
      </c>
      <c r="X46" s="10"/>
      <c r="Y46" s="10"/>
      <c r="Z46" s="10"/>
      <c r="AA46" s="10"/>
    </row>
    <row r="47" spans="1:27">
      <c r="A47" s="16"/>
      <c r="B47" s="16"/>
      <c r="C47" s="17">
        <v>50</v>
      </c>
      <c r="D47" s="17">
        <v>46</v>
      </c>
      <c r="E47" s="16"/>
      <c r="F47" s="16"/>
      <c r="G47" s="17"/>
      <c r="H47" s="19">
        <v>42262</v>
      </c>
      <c r="I47" s="15"/>
      <c r="J47" s="15"/>
      <c r="K47" s="15"/>
      <c r="L47" s="15"/>
      <c r="M47" s="17" t="s">
        <v>89</v>
      </c>
      <c r="N47" s="22" t="s">
        <v>40</v>
      </c>
      <c r="O47" s="22" t="s">
        <v>27</v>
      </c>
      <c r="X47" s="10"/>
      <c r="Y47" s="10"/>
      <c r="Z47" s="10"/>
      <c r="AA47" s="10"/>
    </row>
    <row r="48" spans="1:27">
      <c r="A48" s="16"/>
      <c r="B48" s="16"/>
      <c r="C48" s="17">
        <v>50</v>
      </c>
      <c r="D48" s="17">
        <v>47</v>
      </c>
      <c r="E48" s="16"/>
      <c r="F48" s="16"/>
      <c r="G48" s="17"/>
      <c r="H48" s="19">
        <v>42263</v>
      </c>
      <c r="I48" s="15"/>
      <c r="J48" s="15"/>
      <c r="K48" s="15"/>
      <c r="L48" s="15"/>
      <c r="M48" s="17" t="s">
        <v>90</v>
      </c>
      <c r="N48" s="22" t="s">
        <v>40</v>
      </c>
      <c r="O48" s="22" t="s">
        <v>27</v>
      </c>
    </row>
    <row r="49" spans="1:27">
      <c r="A49" s="16"/>
      <c r="B49" s="16"/>
      <c r="C49" s="17">
        <v>50</v>
      </c>
      <c r="D49" s="17">
        <v>48</v>
      </c>
      <c r="E49" s="16"/>
      <c r="F49" s="16"/>
      <c r="G49" s="17"/>
      <c r="H49" s="19">
        <v>42264</v>
      </c>
      <c r="I49" s="15"/>
      <c r="J49" s="15"/>
      <c r="K49" s="15"/>
      <c r="L49" s="15"/>
      <c r="M49" s="17" t="s">
        <v>91</v>
      </c>
      <c r="N49" s="22" t="s">
        <v>40</v>
      </c>
      <c r="O49" s="22" t="s">
        <v>27</v>
      </c>
    </row>
    <row r="50" spans="1:27">
      <c r="A50" s="16"/>
      <c r="B50" s="16"/>
      <c r="C50" s="17">
        <v>50</v>
      </c>
      <c r="D50" s="17">
        <v>49</v>
      </c>
      <c r="E50" s="16"/>
      <c r="F50" s="16"/>
      <c r="G50" s="17"/>
      <c r="H50" s="19">
        <v>42265</v>
      </c>
      <c r="I50" s="15"/>
      <c r="J50" s="15"/>
      <c r="K50" s="15"/>
      <c r="L50" s="15"/>
      <c r="M50" s="17" t="s">
        <v>92</v>
      </c>
      <c r="N50" s="22" t="s">
        <v>40</v>
      </c>
      <c r="O50" s="22" t="s">
        <v>27</v>
      </c>
    </row>
    <row r="51" spans="1:27">
      <c r="A51" s="16"/>
      <c r="B51" s="16"/>
      <c r="C51" s="17">
        <v>50</v>
      </c>
      <c r="D51" s="17">
        <v>50</v>
      </c>
      <c r="E51" s="16"/>
      <c r="F51" s="16"/>
      <c r="G51" s="17"/>
      <c r="H51" s="19">
        <v>42266</v>
      </c>
      <c r="I51" s="15"/>
      <c r="J51" s="15"/>
      <c r="K51" s="15"/>
      <c r="L51" s="15"/>
      <c r="M51" s="17" t="s">
        <v>93</v>
      </c>
      <c r="N51" s="22" t="s">
        <v>40</v>
      </c>
      <c r="O51" s="22" t="s">
        <v>27</v>
      </c>
    </row>
    <row r="52" spans="1:27">
      <c r="A52" s="16"/>
      <c r="B52" s="16"/>
      <c r="C52" s="17">
        <v>50</v>
      </c>
      <c r="D52" s="17">
        <v>51</v>
      </c>
      <c r="E52" s="16"/>
      <c r="F52" s="16"/>
      <c r="G52" s="17"/>
      <c r="H52" s="19">
        <v>42267</v>
      </c>
      <c r="I52" s="15"/>
      <c r="J52" s="15"/>
      <c r="K52" s="15"/>
      <c r="L52" s="15"/>
      <c r="M52" s="17" t="s">
        <v>94</v>
      </c>
      <c r="N52" s="22" t="s">
        <v>40</v>
      </c>
      <c r="O52" s="22" t="s">
        <v>27</v>
      </c>
      <c r="AA52" s="10"/>
    </row>
    <row r="53" spans="1:27">
      <c r="A53" s="16"/>
      <c r="B53" s="16"/>
      <c r="C53" s="17">
        <v>50</v>
      </c>
      <c r="D53" s="17">
        <v>52</v>
      </c>
      <c r="E53" s="16"/>
      <c r="F53" s="16"/>
      <c r="G53" s="17"/>
      <c r="H53" s="19">
        <v>42268</v>
      </c>
      <c r="I53" s="15"/>
      <c r="J53" s="15"/>
      <c r="K53" s="15"/>
      <c r="L53" s="15"/>
      <c r="M53" s="17" t="s">
        <v>95</v>
      </c>
      <c r="N53" s="22" t="s">
        <v>40</v>
      </c>
      <c r="O53" s="22" t="s">
        <v>27</v>
      </c>
      <c r="X53" s="10"/>
      <c r="Y53" s="10"/>
      <c r="AA53" s="10"/>
    </row>
    <row r="54" spans="1:27">
      <c r="A54" s="16"/>
      <c r="B54" s="16"/>
      <c r="C54" s="16"/>
      <c r="D54" s="16"/>
      <c r="E54" s="16"/>
      <c r="F54" s="16"/>
      <c r="G54" s="17"/>
      <c r="H54" s="19">
        <v>42269</v>
      </c>
      <c r="I54" s="15"/>
      <c r="J54" s="15"/>
      <c r="K54" s="15"/>
      <c r="L54" s="15"/>
      <c r="M54" s="17" t="s">
        <v>96</v>
      </c>
      <c r="N54" s="22" t="s">
        <v>40</v>
      </c>
      <c r="O54" s="22" t="s">
        <v>27</v>
      </c>
      <c r="X54" s="10"/>
      <c r="Y54" s="10"/>
      <c r="Z54" s="10"/>
      <c r="AA54" s="10"/>
    </row>
    <row r="55" spans="1:27">
      <c r="A55" s="16"/>
      <c r="B55" s="16"/>
      <c r="C55" s="16"/>
      <c r="D55" s="16"/>
      <c r="E55" s="16"/>
      <c r="F55" s="16"/>
      <c r="G55" s="17"/>
      <c r="H55" s="19">
        <v>42270</v>
      </c>
      <c r="I55" s="15"/>
      <c r="J55" s="15"/>
      <c r="K55" s="15"/>
      <c r="L55" s="15"/>
      <c r="M55" s="17" t="s">
        <v>97</v>
      </c>
      <c r="N55" s="22" t="s">
        <v>40</v>
      </c>
      <c r="O55" s="22" t="s">
        <v>27</v>
      </c>
      <c r="X55" s="10"/>
      <c r="Y55" s="10"/>
      <c r="Z55" s="10"/>
      <c r="AA55" s="10"/>
    </row>
    <row r="56" spans="1:27">
      <c r="A56" s="16"/>
      <c r="B56" s="16"/>
      <c r="C56" s="16"/>
      <c r="D56" s="16"/>
      <c r="E56" s="16"/>
      <c r="F56" s="16"/>
      <c r="G56" s="17"/>
      <c r="H56" s="19">
        <v>42271</v>
      </c>
      <c r="I56" s="15"/>
      <c r="J56" s="15"/>
      <c r="K56" s="15"/>
      <c r="L56" s="15"/>
      <c r="M56" s="17" t="s">
        <v>98</v>
      </c>
      <c r="N56" s="22" t="s">
        <v>40</v>
      </c>
      <c r="O56" s="22" t="s">
        <v>27</v>
      </c>
      <c r="X56" s="10"/>
      <c r="Y56" s="10"/>
      <c r="Z56" s="10"/>
      <c r="AA56" s="10"/>
    </row>
    <row r="57" spans="1:27">
      <c r="A57" s="16"/>
      <c r="B57" s="16"/>
      <c r="C57" s="16"/>
      <c r="D57" s="16"/>
      <c r="E57" s="16"/>
      <c r="F57" s="16"/>
      <c r="G57" s="17"/>
      <c r="H57" s="19">
        <v>42272</v>
      </c>
      <c r="I57" s="15"/>
      <c r="J57" s="15"/>
      <c r="K57" s="15"/>
      <c r="L57" s="15"/>
      <c r="M57" s="17" t="s">
        <v>99</v>
      </c>
      <c r="N57" s="22" t="s">
        <v>40</v>
      </c>
      <c r="O57" s="22" t="s">
        <v>27</v>
      </c>
    </row>
    <row r="58" spans="1:27">
      <c r="A58" s="16"/>
      <c r="B58" s="16"/>
      <c r="C58" s="16"/>
      <c r="D58" s="16"/>
      <c r="E58" s="16"/>
      <c r="F58" s="16"/>
      <c r="G58" s="17"/>
      <c r="H58" s="19">
        <v>42273</v>
      </c>
      <c r="I58" s="15"/>
      <c r="J58" s="15"/>
      <c r="K58" s="15"/>
      <c r="L58" s="15"/>
      <c r="M58" s="17" t="s">
        <v>100</v>
      </c>
      <c r="N58" s="22" t="s">
        <v>40</v>
      </c>
      <c r="O58" s="22" t="s">
        <v>27</v>
      </c>
    </row>
    <row r="59" spans="1:27">
      <c r="A59" s="16"/>
      <c r="B59" s="16"/>
      <c r="C59" s="16"/>
      <c r="D59" s="16"/>
      <c r="E59" s="16"/>
      <c r="F59" s="16"/>
      <c r="G59" s="17"/>
      <c r="H59" s="19">
        <v>42274</v>
      </c>
      <c r="I59" s="15"/>
      <c r="J59" s="15"/>
      <c r="K59" s="15"/>
      <c r="L59" s="15"/>
      <c r="M59" s="17" t="s">
        <v>101</v>
      </c>
      <c r="N59" s="22" t="s">
        <v>40</v>
      </c>
      <c r="O59" s="22" t="s">
        <v>26</v>
      </c>
    </row>
    <row r="60" spans="1:27">
      <c r="A60" s="16"/>
      <c r="B60" s="16"/>
      <c r="C60" s="16"/>
      <c r="D60" s="16"/>
      <c r="E60" s="16"/>
      <c r="F60" s="16"/>
      <c r="G60" s="17"/>
      <c r="H60" s="19">
        <v>42275</v>
      </c>
      <c r="I60" s="15"/>
      <c r="J60" s="15"/>
      <c r="K60" s="15"/>
      <c r="L60" s="15"/>
      <c r="M60" s="17" t="s">
        <v>102</v>
      </c>
      <c r="N60" s="22" t="s">
        <v>40</v>
      </c>
      <c r="O60" s="22" t="s">
        <v>26</v>
      </c>
    </row>
    <row r="61" spans="1:27">
      <c r="A61" s="16"/>
      <c r="B61" s="16"/>
      <c r="C61" s="16"/>
      <c r="D61" s="16"/>
      <c r="E61" s="16"/>
      <c r="F61" s="16"/>
      <c r="G61" s="17"/>
      <c r="H61" s="19">
        <v>42276</v>
      </c>
      <c r="I61" s="15"/>
      <c r="J61" s="15"/>
      <c r="K61" s="15"/>
      <c r="L61" s="15"/>
      <c r="M61" s="17" t="s">
        <v>103</v>
      </c>
      <c r="N61" s="22" t="s">
        <v>40</v>
      </c>
      <c r="O61" s="22" t="s">
        <v>26</v>
      </c>
    </row>
    <row r="62" spans="1:27">
      <c r="A62" s="16"/>
      <c r="B62" s="16"/>
      <c r="C62" s="16"/>
      <c r="D62" s="16"/>
      <c r="E62" s="16"/>
      <c r="F62" s="16"/>
      <c r="G62" s="17"/>
      <c r="H62" s="19">
        <v>42277</v>
      </c>
      <c r="I62" s="15"/>
      <c r="J62" s="15"/>
      <c r="K62" s="15"/>
      <c r="L62" s="15"/>
      <c r="M62" s="17" t="s">
        <v>104</v>
      </c>
      <c r="N62" s="22" t="s">
        <v>40</v>
      </c>
      <c r="O62" s="22" t="s">
        <v>26</v>
      </c>
      <c r="X62" s="10"/>
      <c r="Y62" s="10"/>
      <c r="AA62" s="10"/>
    </row>
    <row r="63" spans="1:27">
      <c r="A63" s="16"/>
      <c r="B63" s="16"/>
      <c r="C63" s="16"/>
      <c r="D63" s="16"/>
      <c r="E63" s="16"/>
      <c r="F63" s="16"/>
      <c r="G63" s="17"/>
      <c r="H63" s="19">
        <v>42278</v>
      </c>
      <c r="I63" s="15"/>
      <c r="J63" s="15"/>
      <c r="K63" s="15"/>
      <c r="L63" s="15"/>
      <c r="M63" s="17" t="s">
        <v>105</v>
      </c>
      <c r="N63" s="22" t="s">
        <v>40</v>
      </c>
      <c r="O63" s="22" t="s">
        <v>26</v>
      </c>
      <c r="X63" s="10"/>
      <c r="Y63" s="10"/>
      <c r="Z63" s="10"/>
      <c r="AA63" s="10"/>
    </row>
    <row r="64" spans="1:27">
      <c r="A64" s="16"/>
      <c r="B64" s="16"/>
      <c r="C64" s="16"/>
      <c r="D64" s="16"/>
      <c r="E64" s="16"/>
      <c r="F64" s="16"/>
      <c r="G64" s="17"/>
      <c r="H64" s="19">
        <v>42279</v>
      </c>
      <c r="I64" s="15"/>
      <c r="J64" s="15"/>
      <c r="K64" s="15"/>
      <c r="L64" s="15"/>
      <c r="M64" s="17" t="s">
        <v>106</v>
      </c>
      <c r="N64" s="22" t="s">
        <v>40</v>
      </c>
      <c r="O64" s="22" t="s">
        <v>26</v>
      </c>
      <c r="X64" s="10"/>
      <c r="Y64" s="10"/>
      <c r="Z64" s="10"/>
      <c r="AA64" s="10"/>
    </row>
    <row r="65" spans="1:27">
      <c r="A65" s="16"/>
      <c r="B65" s="16"/>
      <c r="C65" s="16"/>
      <c r="D65" s="16"/>
      <c r="E65" s="16"/>
      <c r="F65" s="16"/>
      <c r="G65" s="17"/>
      <c r="H65" s="19">
        <v>42280</v>
      </c>
      <c r="I65" s="15"/>
      <c r="J65" s="15"/>
      <c r="K65" s="15"/>
      <c r="L65" s="15"/>
      <c r="M65" s="17" t="s">
        <v>107</v>
      </c>
      <c r="N65" s="22" t="s">
        <v>40</v>
      </c>
      <c r="O65" s="22" t="s">
        <v>26</v>
      </c>
      <c r="X65" s="10"/>
      <c r="Y65" s="10"/>
      <c r="Z65" s="10"/>
      <c r="AA65" s="10"/>
    </row>
    <row r="66" spans="1:27">
      <c r="A66" s="16"/>
      <c r="B66" s="16"/>
      <c r="C66" s="16"/>
      <c r="D66" s="16"/>
      <c r="E66" s="16"/>
      <c r="F66" s="16"/>
      <c r="G66" s="17"/>
      <c r="H66" s="19">
        <v>42281</v>
      </c>
      <c r="I66" s="15"/>
      <c r="J66" s="15"/>
      <c r="K66" s="15"/>
      <c r="L66" s="15"/>
      <c r="M66" s="17" t="s">
        <v>108</v>
      </c>
      <c r="N66" s="22" t="s">
        <v>40</v>
      </c>
      <c r="O66" s="22" t="s">
        <v>26</v>
      </c>
      <c r="Z66" s="10"/>
      <c r="AA66" s="10"/>
    </row>
    <row r="67" spans="1:27">
      <c r="A67" s="16"/>
      <c r="B67" s="16"/>
      <c r="C67" s="16"/>
      <c r="D67" s="16"/>
      <c r="E67" s="16"/>
      <c r="F67" s="16"/>
      <c r="G67" s="17"/>
      <c r="H67" s="19">
        <v>42282</v>
      </c>
      <c r="I67" s="15"/>
      <c r="J67" s="15"/>
      <c r="K67" s="15"/>
      <c r="L67" s="15"/>
      <c r="M67" s="17" t="s">
        <v>109</v>
      </c>
      <c r="N67" s="22" t="s">
        <v>40</v>
      </c>
      <c r="O67" s="22" t="s">
        <v>26</v>
      </c>
      <c r="Z67" s="10"/>
      <c r="AA67" s="10"/>
    </row>
    <row r="68" spans="1:27">
      <c r="A68" s="16"/>
      <c r="B68" s="16"/>
      <c r="C68" s="16"/>
      <c r="D68" s="16"/>
      <c r="E68" s="16"/>
      <c r="F68" s="16"/>
      <c r="G68" s="17"/>
      <c r="H68" s="19">
        <v>42283</v>
      </c>
      <c r="I68" s="15"/>
      <c r="J68" s="15"/>
      <c r="K68" s="15"/>
      <c r="L68" s="15"/>
      <c r="M68" s="17" t="s">
        <v>110</v>
      </c>
      <c r="N68" s="22" t="s">
        <v>40</v>
      </c>
      <c r="O68" s="22" t="s">
        <v>26</v>
      </c>
      <c r="Z68" s="10"/>
      <c r="AA68" s="10"/>
    </row>
    <row r="69" spans="1:27">
      <c r="A69" s="16"/>
      <c r="B69" s="16"/>
      <c r="C69" s="16"/>
      <c r="D69" s="16"/>
      <c r="E69" s="16"/>
      <c r="F69" s="16"/>
      <c r="G69" s="17"/>
      <c r="H69" s="19">
        <v>42284</v>
      </c>
      <c r="I69" s="15"/>
      <c r="J69" s="15"/>
      <c r="K69" s="15"/>
      <c r="L69" s="15"/>
      <c r="M69" s="17" t="s">
        <v>111</v>
      </c>
      <c r="N69" s="22" t="s">
        <v>40</v>
      </c>
      <c r="O69" s="22" t="s">
        <v>26</v>
      </c>
      <c r="Z69" s="10"/>
      <c r="AA69" s="10"/>
    </row>
    <row r="70" spans="1:27">
      <c r="A70" s="16"/>
      <c r="B70" s="16"/>
      <c r="C70" s="16"/>
      <c r="D70" s="16"/>
      <c r="E70" s="16"/>
      <c r="F70" s="16"/>
      <c r="G70" s="17"/>
      <c r="H70" s="19">
        <v>42285</v>
      </c>
      <c r="I70" s="15"/>
      <c r="J70" s="15"/>
      <c r="K70" s="15"/>
      <c r="L70" s="15"/>
      <c r="M70" s="17" t="s">
        <v>112</v>
      </c>
      <c r="N70" s="22" t="s">
        <v>40</v>
      </c>
      <c r="O70" s="22" t="s">
        <v>26</v>
      </c>
    </row>
    <row r="71" spans="1:27">
      <c r="A71" s="16"/>
      <c r="B71" s="16"/>
      <c r="C71" s="16"/>
      <c r="D71" s="16"/>
      <c r="E71" s="16"/>
      <c r="F71" s="16"/>
      <c r="G71" s="17"/>
      <c r="H71" s="19">
        <v>42286</v>
      </c>
      <c r="I71" s="15"/>
      <c r="J71" s="15"/>
      <c r="K71" s="15"/>
      <c r="L71" s="15"/>
      <c r="M71" s="17" t="s">
        <v>113</v>
      </c>
      <c r="N71" s="22" t="s">
        <v>40</v>
      </c>
      <c r="O71" s="22" t="s">
        <v>26</v>
      </c>
    </row>
    <row r="72" spans="1:27">
      <c r="A72" s="16"/>
      <c r="B72" s="16"/>
      <c r="C72" s="16"/>
      <c r="D72" s="16"/>
      <c r="E72" s="16"/>
      <c r="F72" s="16"/>
      <c r="G72" s="17"/>
      <c r="H72" s="19">
        <v>42287</v>
      </c>
      <c r="I72" s="15"/>
      <c r="J72" s="15"/>
      <c r="K72" s="15"/>
      <c r="L72" s="15"/>
      <c r="M72" s="17" t="s">
        <v>114</v>
      </c>
      <c r="N72" s="22" t="s">
        <v>40</v>
      </c>
      <c r="O72" s="22" t="s">
        <v>26</v>
      </c>
    </row>
    <row r="73" spans="1:27">
      <c r="A73" s="16"/>
      <c r="B73" s="16"/>
      <c r="C73" s="16"/>
      <c r="D73" s="16"/>
      <c r="E73" s="16"/>
      <c r="F73" s="16"/>
      <c r="G73" s="17"/>
      <c r="H73" s="19">
        <v>42288</v>
      </c>
      <c r="I73" s="15"/>
      <c r="J73" s="15"/>
      <c r="K73" s="15"/>
      <c r="L73" s="15"/>
      <c r="M73" s="17" t="s">
        <v>115</v>
      </c>
      <c r="N73" s="22" t="s">
        <v>40</v>
      </c>
      <c r="O73" s="22" t="s">
        <v>26</v>
      </c>
    </row>
    <row r="74" spans="1:27">
      <c r="A74" s="16"/>
      <c r="B74" s="16"/>
      <c r="C74" s="16"/>
      <c r="D74" s="16"/>
      <c r="E74" s="16"/>
      <c r="F74" s="16"/>
      <c r="G74" s="17"/>
      <c r="H74" s="19">
        <v>42289</v>
      </c>
      <c r="I74" s="15"/>
      <c r="J74" s="15"/>
      <c r="K74" s="15"/>
      <c r="L74" s="15"/>
      <c r="M74" s="17" t="s">
        <v>116</v>
      </c>
      <c r="N74" s="22" t="s">
        <v>40</v>
      </c>
      <c r="O74" s="22" t="s">
        <v>26</v>
      </c>
    </row>
    <row r="75" spans="1:27">
      <c r="A75" s="16"/>
      <c r="B75" s="16"/>
      <c r="C75" s="16"/>
      <c r="D75" s="16"/>
      <c r="E75" s="16"/>
      <c r="F75" s="16"/>
      <c r="G75" s="17"/>
      <c r="H75" s="19">
        <v>42290</v>
      </c>
      <c r="I75" s="15"/>
      <c r="J75" s="15"/>
      <c r="K75" s="15"/>
      <c r="L75" s="15"/>
      <c r="M75" s="17" t="s">
        <v>117</v>
      </c>
      <c r="N75" s="22" t="s">
        <v>40</v>
      </c>
      <c r="O75" s="22" t="s">
        <v>26</v>
      </c>
    </row>
    <row r="76" spans="1:27">
      <c r="A76" s="16"/>
      <c r="B76" s="16"/>
      <c r="C76" s="16"/>
      <c r="D76" s="16"/>
      <c r="E76" s="16"/>
      <c r="F76" s="16"/>
      <c r="G76" s="17"/>
      <c r="H76" s="19">
        <v>42291</v>
      </c>
      <c r="I76" s="15"/>
      <c r="J76" s="15"/>
      <c r="K76" s="15"/>
      <c r="L76" s="15"/>
      <c r="M76" s="17" t="s">
        <v>118</v>
      </c>
      <c r="N76" s="22" t="s">
        <v>40</v>
      </c>
      <c r="O76" s="22" t="s">
        <v>26</v>
      </c>
    </row>
    <row r="77" spans="1:27">
      <c r="A77" s="16"/>
      <c r="B77" s="16"/>
      <c r="C77" s="16"/>
      <c r="D77" s="16"/>
      <c r="E77" s="16"/>
      <c r="F77" s="16"/>
      <c r="G77" s="17"/>
      <c r="H77" s="19">
        <v>42292</v>
      </c>
      <c r="I77" s="15"/>
      <c r="J77" s="15"/>
      <c r="K77" s="15"/>
      <c r="L77" s="15"/>
      <c r="M77" s="17" t="s">
        <v>119</v>
      </c>
      <c r="N77" s="22" t="s">
        <v>40</v>
      </c>
      <c r="O77" s="22" t="s">
        <v>26</v>
      </c>
    </row>
    <row r="78" spans="1:27">
      <c r="A78" s="16"/>
      <c r="B78" s="16"/>
      <c r="C78" s="16"/>
      <c r="D78" s="16"/>
      <c r="E78" s="16"/>
      <c r="F78" s="16"/>
      <c r="G78" s="17"/>
      <c r="H78" s="19">
        <v>42293</v>
      </c>
      <c r="I78" s="15"/>
      <c r="J78" s="15"/>
      <c r="K78" s="15"/>
      <c r="L78" s="15"/>
      <c r="M78" s="17" t="s">
        <v>120</v>
      </c>
      <c r="N78" s="22" t="s">
        <v>41</v>
      </c>
      <c r="O78" s="22" t="s">
        <v>24</v>
      </c>
    </row>
    <row r="79" spans="1:27">
      <c r="A79" s="16"/>
      <c r="B79" s="16"/>
      <c r="C79" s="16"/>
      <c r="D79" s="16"/>
      <c r="E79" s="16"/>
      <c r="F79" s="16"/>
      <c r="G79" s="17"/>
      <c r="H79" s="19">
        <v>42294</v>
      </c>
      <c r="I79" s="15"/>
      <c r="J79" s="15"/>
      <c r="K79" s="15"/>
      <c r="L79" s="15"/>
      <c r="M79" s="17" t="s">
        <v>121</v>
      </c>
      <c r="N79" s="22" t="s">
        <v>41</v>
      </c>
      <c r="O79" s="22" t="s">
        <v>24</v>
      </c>
    </row>
    <row r="80" spans="1:27">
      <c r="A80" s="16"/>
      <c r="B80" s="16"/>
      <c r="C80" s="16"/>
      <c r="D80" s="16"/>
      <c r="E80" s="16"/>
      <c r="F80" s="16"/>
      <c r="G80" s="17"/>
      <c r="H80" s="19">
        <v>42295</v>
      </c>
      <c r="I80" s="15"/>
      <c r="J80" s="15"/>
      <c r="K80" s="15"/>
      <c r="L80" s="15"/>
      <c r="M80" s="17" t="s">
        <v>122</v>
      </c>
      <c r="N80" s="22" t="s">
        <v>41</v>
      </c>
      <c r="O80" s="22" t="s">
        <v>24</v>
      </c>
    </row>
    <row r="81" spans="1:15">
      <c r="A81" s="16"/>
      <c r="B81" s="16"/>
      <c r="C81" s="16"/>
      <c r="D81" s="16"/>
      <c r="E81" s="16"/>
      <c r="F81" s="16"/>
      <c r="G81" s="17"/>
      <c r="H81" s="19">
        <v>42296</v>
      </c>
      <c r="I81" s="15"/>
      <c r="J81" s="15"/>
      <c r="K81" s="15"/>
      <c r="L81" s="15"/>
      <c r="M81" s="17" t="s">
        <v>123</v>
      </c>
      <c r="N81" s="22" t="s">
        <v>41</v>
      </c>
      <c r="O81" s="22" t="s">
        <v>24</v>
      </c>
    </row>
    <row r="82" spans="1:15">
      <c r="A82" s="16"/>
      <c r="B82" s="16"/>
      <c r="C82" s="16"/>
      <c r="D82" s="16"/>
      <c r="E82" s="16"/>
      <c r="F82" s="16"/>
      <c r="G82" s="17"/>
      <c r="H82" s="19">
        <v>42297</v>
      </c>
      <c r="I82" s="15"/>
      <c r="J82" s="15"/>
      <c r="K82" s="15"/>
      <c r="L82" s="15"/>
      <c r="M82" s="17" t="s">
        <v>124</v>
      </c>
      <c r="N82" s="22" t="s">
        <v>41</v>
      </c>
      <c r="O82" s="22" t="s">
        <v>24</v>
      </c>
    </row>
    <row r="83" spans="1:15">
      <c r="A83" s="16"/>
      <c r="B83" s="16"/>
      <c r="C83" s="16"/>
      <c r="D83" s="16"/>
      <c r="E83" s="16"/>
      <c r="F83" s="16"/>
      <c r="G83" s="17"/>
      <c r="H83" s="19">
        <v>42298</v>
      </c>
      <c r="I83" s="15"/>
      <c r="J83" s="15"/>
      <c r="K83" s="15"/>
      <c r="L83" s="15"/>
      <c r="M83" s="17" t="s">
        <v>125</v>
      </c>
      <c r="N83" s="22" t="s">
        <v>41</v>
      </c>
      <c r="O83" s="22" t="s">
        <v>24</v>
      </c>
    </row>
    <row r="84" spans="1:15">
      <c r="A84" s="16"/>
      <c r="B84" s="16"/>
      <c r="C84" s="16"/>
      <c r="D84" s="16"/>
      <c r="E84" s="16"/>
      <c r="F84" s="16"/>
      <c r="G84" s="17"/>
      <c r="H84" s="19">
        <v>42299</v>
      </c>
      <c r="I84" s="15"/>
      <c r="J84" s="15"/>
      <c r="K84" s="15"/>
      <c r="L84" s="15"/>
      <c r="M84" s="17" t="s">
        <v>126</v>
      </c>
      <c r="N84" s="22" t="s">
        <v>41</v>
      </c>
      <c r="O84" s="22" t="s">
        <v>24</v>
      </c>
    </row>
    <row r="85" spans="1:15">
      <c r="A85" s="16"/>
      <c r="B85" s="16"/>
      <c r="C85" s="16"/>
      <c r="D85" s="16"/>
      <c r="E85" s="16"/>
      <c r="F85" s="16"/>
      <c r="G85" s="17"/>
      <c r="H85" s="19">
        <v>42300</v>
      </c>
      <c r="I85" s="15"/>
      <c r="J85" s="15"/>
      <c r="K85" s="15"/>
      <c r="L85" s="15"/>
      <c r="M85" s="17" t="s">
        <v>127</v>
      </c>
      <c r="N85" s="22" t="s">
        <v>41</v>
      </c>
      <c r="O85" s="22" t="s">
        <v>24</v>
      </c>
    </row>
    <row r="86" spans="1:15">
      <c r="A86" s="16"/>
      <c r="B86" s="16"/>
      <c r="C86" s="16"/>
      <c r="D86" s="16"/>
      <c r="E86" s="16"/>
      <c r="F86" s="16"/>
      <c r="G86" s="17"/>
      <c r="H86" s="19">
        <v>42301</v>
      </c>
      <c r="I86" s="15"/>
      <c r="J86" s="15"/>
      <c r="K86" s="15"/>
      <c r="L86" s="15"/>
      <c r="M86" s="17" t="s">
        <v>128</v>
      </c>
      <c r="N86" s="22" t="s">
        <v>41</v>
      </c>
      <c r="O86" s="22" t="s">
        <v>24</v>
      </c>
    </row>
    <row r="87" spans="1:15">
      <c r="A87" s="16"/>
      <c r="B87" s="16"/>
      <c r="C87" s="16"/>
      <c r="D87" s="16"/>
      <c r="E87" s="16"/>
      <c r="F87" s="16"/>
      <c r="G87" s="17"/>
      <c r="H87" s="19">
        <v>42302</v>
      </c>
      <c r="I87" s="15"/>
      <c r="J87" s="15"/>
      <c r="K87" s="15"/>
      <c r="L87" s="15"/>
      <c r="M87" s="17" t="s">
        <v>129</v>
      </c>
      <c r="N87" s="22" t="s">
        <v>41</v>
      </c>
      <c r="O87" s="22" t="s">
        <v>25</v>
      </c>
    </row>
    <row r="88" spans="1:15">
      <c r="A88" s="16"/>
      <c r="B88" s="16"/>
      <c r="C88" s="16"/>
      <c r="D88" s="16"/>
      <c r="E88" s="16"/>
      <c r="F88" s="16"/>
      <c r="G88" s="17"/>
      <c r="H88" s="19">
        <v>42303</v>
      </c>
      <c r="I88" s="15"/>
      <c r="J88" s="15"/>
      <c r="K88" s="15"/>
      <c r="L88" s="15"/>
      <c r="M88" s="17" t="s">
        <v>130</v>
      </c>
      <c r="N88" s="22" t="s">
        <v>41</v>
      </c>
      <c r="O88" s="22" t="s">
        <v>25</v>
      </c>
    </row>
    <row r="89" spans="1:15">
      <c r="A89" s="16"/>
      <c r="B89" s="16"/>
      <c r="C89" s="16"/>
      <c r="D89" s="16"/>
      <c r="E89" s="16"/>
      <c r="F89" s="16"/>
      <c r="G89" s="17"/>
      <c r="H89" s="19">
        <v>42304</v>
      </c>
      <c r="I89" s="15"/>
      <c r="J89" s="15"/>
      <c r="K89" s="15"/>
      <c r="L89" s="15"/>
      <c r="M89" s="17" t="s">
        <v>131</v>
      </c>
      <c r="N89" s="22" t="s">
        <v>41</v>
      </c>
      <c r="O89" s="22" t="s">
        <v>25</v>
      </c>
    </row>
    <row r="90" spans="1:15">
      <c r="A90" s="16"/>
      <c r="B90" s="16"/>
      <c r="C90" s="16"/>
      <c r="D90" s="16"/>
      <c r="E90" s="16"/>
      <c r="F90" s="16"/>
      <c r="G90" s="17"/>
      <c r="H90" s="19">
        <v>42305</v>
      </c>
      <c r="I90" s="15"/>
      <c r="J90" s="15"/>
      <c r="K90" s="15"/>
      <c r="L90" s="15"/>
      <c r="M90" s="17" t="s">
        <v>132</v>
      </c>
      <c r="N90" s="22" t="s">
        <v>41</v>
      </c>
      <c r="O90" s="22" t="s">
        <v>25</v>
      </c>
    </row>
    <row r="91" spans="1:15">
      <c r="A91" s="16"/>
      <c r="B91" s="16"/>
      <c r="C91" s="16"/>
      <c r="D91" s="16"/>
      <c r="E91" s="16"/>
      <c r="F91" s="16"/>
      <c r="G91" s="17"/>
      <c r="H91" s="19">
        <v>42306</v>
      </c>
      <c r="I91" s="15"/>
      <c r="J91" s="15"/>
      <c r="K91" s="15"/>
      <c r="L91" s="15"/>
      <c r="M91" s="17" t="s">
        <v>133</v>
      </c>
      <c r="N91" s="22" t="s">
        <v>41</v>
      </c>
      <c r="O91" s="22" t="s">
        <v>25</v>
      </c>
    </row>
    <row r="92" spans="1:15">
      <c r="A92" s="16"/>
      <c r="B92" s="16"/>
      <c r="C92" s="16"/>
      <c r="D92" s="16"/>
      <c r="E92" s="16"/>
      <c r="F92" s="16"/>
      <c r="G92" s="17"/>
      <c r="H92" s="19">
        <v>42307</v>
      </c>
      <c r="I92" s="15"/>
      <c r="J92" s="15"/>
      <c r="K92" s="15"/>
      <c r="L92" s="15"/>
      <c r="M92" s="17" t="s">
        <v>134</v>
      </c>
      <c r="N92" s="22" t="s">
        <v>41</v>
      </c>
      <c r="O92" s="22" t="s">
        <v>25</v>
      </c>
    </row>
    <row r="93" spans="1:15">
      <c r="A93" s="16"/>
      <c r="B93" s="16"/>
      <c r="C93" s="16"/>
      <c r="D93" s="16"/>
      <c r="E93" s="16"/>
      <c r="F93" s="16"/>
      <c r="G93" s="17"/>
      <c r="H93" s="19">
        <v>42308</v>
      </c>
      <c r="I93" s="15"/>
      <c r="J93" s="15"/>
      <c r="K93" s="15"/>
      <c r="L93" s="15"/>
      <c r="M93" s="17" t="s">
        <v>135</v>
      </c>
      <c r="N93" s="22" t="s">
        <v>41</v>
      </c>
      <c r="O93" s="22" t="s">
        <v>25</v>
      </c>
    </row>
    <row r="94" spans="1:15">
      <c r="A94" s="16"/>
      <c r="B94" s="16"/>
      <c r="C94" s="16"/>
      <c r="D94" s="16"/>
      <c r="E94" s="16"/>
      <c r="F94" s="16"/>
      <c r="G94" s="17"/>
      <c r="H94" s="19">
        <v>42309</v>
      </c>
      <c r="I94" s="15"/>
      <c r="J94" s="15"/>
      <c r="K94" s="15"/>
      <c r="L94" s="15"/>
      <c r="M94" s="17" t="s">
        <v>136</v>
      </c>
      <c r="N94" s="22" t="s">
        <v>41</v>
      </c>
      <c r="O94" s="22" t="s">
        <v>25</v>
      </c>
    </row>
    <row r="95" spans="1:15">
      <c r="A95" s="16"/>
      <c r="B95" s="16"/>
      <c r="C95" s="16"/>
      <c r="D95" s="16"/>
      <c r="E95" s="16"/>
      <c r="F95" s="16"/>
      <c r="G95" s="17"/>
      <c r="H95" s="19">
        <v>42310</v>
      </c>
      <c r="I95" s="15"/>
      <c r="J95" s="15"/>
      <c r="K95" s="15"/>
      <c r="L95" s="15"/>
      <c r="M95" s="17" t="s">
        <v>137</v>
      </c>
      <c r="N95" s="22" t="s">
        <v>41</v>
      </c>
      <c r="O95" s="22" t="s">
        <v>25</v>
      </c>
    </row>
    <row r="96" spans="1:15">
      <c r="A96" s="16"/>
      <c r="B96" s="16"/>
      <c r="C96" s="16"/>
      <c r="D96" s="16"/>
      <c r="E96" s="16"/>
      <c r="F96" s="16"/>
      <c r="G96" s="17"/>
      <c r="H96" s="19">
        <v>42311</v>
      </c>
      <c r="I96" s="15"/>
      <c r="J96" s="15"/>
      <c r="K96" s="15"/>
      <c r="L96" s="15"/>
      <c r="M96" s="17" t="s">
        <v>138</v>
      </c>
      <c r="N96" s="22" t="s">
        <v>41</v>
      </c>
      <c r="O96" s="22" t="s">
        <v>27</v>
      </c>
    </row>
    <row r="97" spans="1:15">
      <c r="A97" s="16"/>
      <c r="B97" s="16"/>
      <c r="C97" s="16"/>
      <c r="D97" s="16"/>
      <c r="E97" s="16"/>
      <c r="F97" s="16"/>
      <c r="G97" s="17"/>
      <c r="H97" s="19">
        <v>42312</v>
      </c>
      <c r="I97" s="15"/>
      <c r="J97" s="15"/>
      <c r="K97" s="15"/>
      <c r="L97" s="15"/>
      <c r="M97" s="17" t="s">
        <v>139</v>
      </c>
      <c r="N97" s="22" t="s">
        <v>41</v>
      </c>
      <c r="O97" s="22" t="s">
        <v>27</v>
      </c>
    </row>
    <row r="98" spans="1:15">
      <c r="A98" s="16"/>
      <c r="B98" s="16"/>
      <c r="C98" s="16"/>
      <c r="D98" s="16"/>
      <c r="E98" s="16"/>
      <c r="F98" s="16"/>
      <c r="G98" s="17"/>
      <c r="H98" s="19">
        <v>42313</v>
      </c>
      <c r="I98" s="15"/>
      <c r="J98" s="15"/>
      <c r="K98" s="15"/>
      <c r="L98" s="15"/>
      <c r="M98" s="17" t="s">
        <v>140</v>
      </c>
      <c r="N98" s="22" t="s">
        <v>41</v>
      </c>
      <c r="O98" s="22" t="s">
        <v>27</v>
      </c>
    </row>
    <row r="99" spans="1:15">
      <c r="A99" s="16"/>
      <c r="B99" s="16"/>
      <c r="C99" s="16"/>
      <c r="D99" s="16"/>
      <c r="E99" s="16"/>
      <c r="F99" s="16"/>
      <c r="G99" s="17"/>
      <c r="H99" s="19">
        <v>42314</v>
      </c>
      <c r="I99" s="15"/>
      <c r="J99" s="15"/>
      <c r="K99" s="15"/>
      <c r="L99" s="15"/>
      <c r="M99" s="17" t="s">
        <v>141</v>
      </c>
      <c r="N99" s="22" t="s">
        <v>41</v>
      </c>
      <c r="O99" s="22" t="s">
        <v>27</v>
      </c>
    </row>
    <row r="100" spans="1:15">
      <c r="A100" s="16"/>
      <c r="B100" s="16"/>
      <c r="C100" s="16"/>
      <c r="D100" s="16"/>
      <c r="E100" s="16"/>
      <c r="F100" s="16"/>
      <c r="G100" s="17"/>
      <c r="H100" s="19">
        <v>42315</v>
      </c>
      <c r="I100" s="15"/>
      <c r="J100" s="15"/>
      <c r="K100" s="15"/>
      <c r="L100" s="15"/>
      <c r="M100" s="17" t="s">
        <v>142</v>
      </c>
      <c r="N100" s="22" t="s">
        <v>41</v>
      </c>
      <c r="O100" s="22" t="s">
        <v>27</v>
      </c>
    </row>
    <row r="101" spans="1:15">
      <c r="A101" s="16"/>
      <c r="B101" s="16"/>
      <c r="C101" s="16"/>
      <c r="D101" s="16"/>
      <c r="E101" s="16"/>
      <c r="F101" s="16"/>
      <c r="G101" s="17"/>
      <c r="H101" s="19">
        <v>42316</v>
      </c>
      <c r="I101" s="15"/>
      <c r="J101" s="15"/>
      <c r="K101" s="15"/>
      <c r="L101" s="15"/>
      <c r="M101" s="17" t="s">
        <v>143</v>
      </c>
      <c r="N101" s="22" t="s">
        <v>41</v>
      </c>
      <c r="O101" s="22" t="s">
        <v>27</v>
      </c>
    </row>
    <row r="102" spans="1:15">
      <c r="A102" s="16"/>
      <c r="B102" s="16"/>
      <c r="C102" s="16"/>
      <c r="D102" s="16"/>
      <c r="E102" s="16"/>
      <c r="F102" s="16"/>
      <c r="G102" s="17"/>
      <c r="H102" s="19">
        <v>42317</v>
      </c>
      <c r="I102" s="15"/>
      <c r="J102" s="15"/>
      <c r="K102" s="15"/>
      <c r="L102" s="15"/>
      <c r="M102" s="17" t="s">
        <v>144</v>
      </c>
      <c r="N102" s="22" t="s">
        <v>41</v>
      </c>
      <c r="O102" s="22" t="s">
        <v>27</v>
      </c>
    </row>
    <row r="103" spans="1:15">
      <c r="A103" s="16"/>
      <c r="B103" s="16"/>
      <c r="C103" s="16"/>
      <c r="D103" s="16"/>
      <c r="E103" s="16"/>
      <c r="F103" s="16"/>
      <c r="G103" s="17"/>
      <c r="H103" s="19">
        <v>42318</v>
      </c>
      <c r="I103" s="15"/>
      <c r="J103" s="15"/>
      <c r="K103" s="15"/>
      <c r="L103" s="15"/>
      <c r="M103" s="17" t="s">
        <v>145</v>
      </c>
      <c r="N103" s="22" t="s">
        <v>41</v>
      </c>
      <c r="O103" s="22" t="s">
        <v>27</v>
      </c>
    </row>
    <row r="104" spans="1:15">
      <c r="A104" s="16"/>
      <c r="B104" s="16"/>
      <c r="C104" s="16"/>
      <c r="D104" s="16"/>
      <c r="E104" s="16"/>
      <c r="F104" s="16"/>
      <c r="G104" s="17"/>
      <c r="H104" s="19">
        <v>42319</v>
      </c>
      <c r="I104" s="15"/>
      <c r="J104" s="15"/>
      <c r="K104" s="15"/>
      <c r="L104" s="15"/>
      <c r="M104" s="17" t="s">
        <v>146</v>
      </c>
      <c r="N104" s="22" t="s">
        <v>41</v>
      </c>
      <c r="O104" s="22" t="s">
        <v>27</v>
      </c>
    </row>
    <row r="105" spans="1:15">
      <c r="A105" s="16"/>
      <c r="B105" s="16"/>
      <c r="C105" s="16"/>
      <c r="D105" s="16"/>
      <c r="E105" s="16"/>
      <c r="F105" s="16"/>
      <c r="G105" s="17"/>
      <c r="H105" s="19">
        <v>42320</v>
      </c>
      <c r="I105" s="15"/>
      <c r="J105" s="15"/>
      <c r="K105" s="15"/>
      <c r="L105" s="15"/>
      <c r="M105" s="17" t="s">
        <v>147</v>
      </c>
      <c r="N105" s="22" t="s">
        <v>41</v>
      </c>
      <c r="O105" s="22" t="s">
        <v>26</v>
      </c>
    </row>
    <row r="106" spans="1:15">
      <c r="A106" s="16"/>
      <c r="B106" s="16"/>
      <c r="C106" s="16"/>
      <c r="D106" s="16"/>
      <c r="E106" s="16"/>
      <c r="F106" s="16"/>
      <c r="G106" s="17"/>
      <c r="H106" s="19">
        <v>42321</v>
      </c>
      <c r="I106" s="15"/>
      <c r="J106" s="15"/>
      <c r="K106" s="15"/>
      <c r="L106" s="15"/>
      <c r="M106" s="17" t="s">
        <v>148</v>
      </c>
      <c r="N106" s="22" t="s">
        <v>41</v>
      </c>
      <c r="O106" s="22" t="s">
        <v>26</v>
      </c>
    </row>
    <row r="107" spans="1:15">
      <c r="A107" s="16"/>
      <c r="B107" s="16"/>
      <c r="C107" s="16"/>
      <c r="D107" s="16"/>
      <c r="E107" s="16"/>
      <c r="F107" s="16"/>
      <c r="G107" s="17"/>
      <c r="H107" s="19">
        <v>42322</v>
      </c>
      <c r="I107" s="15"/>
      <c r="J107" s="15"/>
      <c r="K107" s="15"/>
      <c r="L107" s="15"/>
      <c r="M107" s="17" t="s">
        <v>149</v>
      </c>
      <c r="N107" s="22" t="s">
        <v>41</v>
      </c>
      <c r="O107" s="22" t="s">
        <v>26</v>
      </c>
    </row>
    <row r="108" spans="1:15">
      <c r="A108" s="16"/>
      <c r="B108" s="16"/>
      <c r="C108" s="16"/>
      <c r="D108" s="16"/>
      <c r="E108" s="16"/>
      <c r="F108" s="16"/>
      <c r="G108" s="17"/>
      <c r="H108" s="19">
        <v>42323</v>
      </c>
      <c r="I108" s="15"/>
      <c r="J108" s="15"/>
      <c r="K108" s="15"/>
      <c r="L108" s="15"/>
      <c r="M108" s="17" t="s">
        <v>150</v>
      </c>
      <c r="N108" s="22" t="s">
        <v>41</v>
      </c>
      <c r="O108" s="22" t="s">
        <v>26</v>
      </c>
    </row>
    <row r="109" spans="1:15">
      <c r="A109" s="16"/>
      <c r="B109" s="16"/>
      <c r="C109" s="16"/>
      <c r="D109" s="16"/>
      <c r="E109" s="16"/>
      <c r="F109" s="16"/>
      <c r="G109" s="17"/>
      <c r="H109" s="19">
        <v>42324</v>
      </c>
      <c r="I109" s="15"/>
      <c r="J109" s="15"/>
      <c r="K109" s="15"/>
      <c r="L109" s="15"/>
      <c r="M109" s="17" t="s">
        <v>151</v>
      </c>
      <c r="N109" s="22" t="s">
        <v>41</v>
      </c>
      <c r="O109" s="22" t="s">
        <v>26</v>
      </c>
    </row>
    <row r="110" spans="1:15">
      <c r="A110" s="16"/>
      <c r="B110" s="16"/>
      <c r="C110" s="16"/>
      <c r="D110" s="16"/>
      <c r="E110" s="16"/>
      <c r="F110" s="16"/>
      <c r="G110" s="17"/>
      <c r="H110" s="19">
        <v>42325</v>
      </c>
      <c r="I110" s="15"/>
      <c r="J110" s="15"/>
      <c r="K110" s="15"/>
      <c r="L110" s="15"/>
      <c r="M110" s="17" t="s">
        <v>152</v>
      </c>
      <c r="N110" s="22" t="s">
        <v>41</v>
      </c>
      <c r="O110" s="22" t="s">
        <v>26</v>
      </c>
    </row>
    <row r="111" spans="1:15">
      <c r="A111" s="16"/>
      <c r="B111" s="16"/>
      <c r="C111" s="16"/>
      <c r="D111" s="16"/>
      <c r="E111" s="16"/>
      <c r="F111" s="16"/>
      <c r="G111" s="17"/>
      <c r="H111" s="19">
        <v>42326</v>
      </c>
      <c r="I111" s="15"/>
      <c r="J111" s="15"/>
      <c r="K111" s="15"/>
      <c r="L111" s="15"/>
      <c r="M111" s="17" t="s">
        <v>153</v>
      </c>
      <c r="N111" s="22" t="s">
        <v>41</v>
      </c>
      <c r="O111" s="22" t="s">
        <v>26</v>
      </c>
    </row>
    <row r="112" spans="1:15">
      <c r="A112" s="16"/>
      <c r="B112" s="16"/>
      <c r="C112" s="16"/>
      <c r="D112" s="16"/>
      <c r="E112" s="16"/>
      <c r="F112" s="16"/>
      <c r="G112" s="17"/>
      <c r="H112" s="19">
        <v>42327</v>
      </c>
      <c r="I112" s="15"/>
      <c r="J112" s="15"/>
      <c r="K112" s="15"/>
      <c r="L112" s="15"/>
      <c r="M112" s="17" t="s">
        <v>154</v>
      </c>
      <c r="N112" s="22" t="s">
        <v>41</v>
      </c>
      <c r="O112" s="22" t="s">
        <v>26</v>
      </c>
    </row>
    <row r="113" spans="1:15">
      <c r="A113" s="16"/>
      <c r="B113" s="16"/>
      <c r="C113" s="16"/>
      <c r="D113" s="16"/>
      <c r="E113" s="16"/>
      <c r="F113" s="16"/>
      <c r="G113" s="17"/>
      <c r="H113" s="19">
        <v>42328</v>
      </c>
      <c r="I113" s="15"/>
      <c r="J113" s="15"/>
      <c r="K113" s="15"/>
      <c r="L113" s="15"/>
      <c r="M113" s="17" t="s">
        <v>155</v>
      </c>
      <c r="N113" s="22" t="s">
        <v>41</v>
      </c>
      <c r="O113" s="22" t="s">
        <v>26</v>
      </c>
    </row>
    <row r="114" spans="1:15">
      <c r="A114" s="16"/>
      <c r="B114" s="16"/>
      <c r="C114" s="16"/>
      <c r="D114" s="16"/>
      <c r="E114" s="16"/>
      <c r="F114" s="16"/>
      <c r="G114" s="17"/>
      <c r="H114" s="19">
        <v>42329</v>
      </c>
      <c r="I114" s="15"/>
      <c r="J114" s="15"/>
      <c r="K114" s="15"/>
      <c r="L114" s="15"/>
      <c r="M114" s="17"/>
      <c r="N114" s="17"/>
      <c r="O114" s="17"/>
    </row>
    <row r="115" spans="1:15">
      <c r="A115" s="16"/>
      <c r="B115" s="16"/>
      <c r="C115" s="16"/>
      <c r="D115" s="16"/>
      <c r="E115" s="16"/>
      <c r="F115" s="16"/>
      <c r="G115" s="17"/>
      <c r="H115" s="19">
        <v>42330</v>
      </c>
      <c r="I115" s="15"/>
      <c r="J115" s="15"/>
      <c r="K115" s="15"/>
      <c r="L115" s="15"/>
      <c r="M115" s="17"/>
      <c r="N115" s="17"/>
      <c r="O115" s="17"/>
    </row>
    <row r="116" spans="1:15">
      <c r="A116" s="16"/>
      <c r="B116" s="16"/>
      <c r="C116" s="16"/>
      <c r="D116" s="16"/>
      <c r="E116" s="16"/>
      <c r="F116" s="16"/>
      <c r="G116" s="17"/>
      <c r="H116" s="19">
        <v>42331</v>
      </c>
      <c r="I116" s="15"/>
      <c r="J116" s="15"/>
      <c r="K116" s="15"/>
      <c r="L116" s="15"/>
      <c r="M116" s="17"/>
      <c r="N116" s="17"/>
      <c r="O116" s="17"/>
    </row>
    <row r="117" spans="1:15">
      <c r="A117" s="16"/>
      <c r="B117" s="16"/>
      <c r="C117" s="16"/>
      <c r="D117" s="16"/>
      <c r="E117" s="16"/>
      <c r="F117" s="16"/>
      <c r="G117" s="17"/>
      <c r="H117" s="19">
        <v>42332</v>
      </c>
      <c r="I117" s="15"/>
      <c r="J117" s="15"/>
      <c r="K117" s="15"/>
      <c r="L117" s="15"/>
      <c r="M117" s="17"/>
      <c r="N117" s="17"/>
      <c r="O117" s="17"/>
    </row>
    <row r="118" spans="1:15">
      <c r="A118" s="16"/>
      <c r="B118" s="16"/>
      <c r="C118" s="16"/>
      <c r="D118" s="16"/>
      <c r="E118" s="16"/>
      <c r="F118" s="16"/>
      <c r="G118" s="17"/>
      <c r="H118" s="19">
        <v>42333</v>
      </c>
      <c r="I118" s="15"/>
      <c r="J118" s="15"/>
      <c r="K118" s="15"/>
      <c r="L118" s="15"/>
      <c r="M118" s="17"/>
      <c r="N118" s="17"/>
      <c r="O118" s="17"/>
    </row>
    <row r="119" spans="1:15">
      <c r="A119" s="16"/>
      <c r="B119" s="16"/>
      <c r="C119" s="16"/>
      <c r="D119" s="16"/>
      <c r="E119" s="16"/>
      <c r="F119" s="16"/>
      <c r="G119" s="17"/>
      <c r="H119" s="19">
        <v>42334</v>
      </c>
      <c r="I119" s="15"/>
      <c r="J119" s="15"/>
      <c r="K119" s="15"/>
      <c r="L119" s="15"/>
      <c r="M119" s="17"/>
      <c r="N119" s="17"/>
      <c r="O119" s="17"/>
    </row>
    <row r="120" spans="1:15">
      <c r="A120" s="16"/>
      <c r="B120" s="16"/>
      <c r="C120" s="16"/>
      <c r="D120" s="16"/>
      <c r="E120" s="16"/>
      <c r="F120" s="16"/>
      <c r="G120" s="17"/>
      <c r="H120" s="19">
        <v>42335</v>
      </c>
      <c r="I120" s="15"/>
      <c r="J120" s="15"/>
      <c r="K120" s="15"/>
      <c r="L120" s="15"/>
      <c r="M120" s="17"/>
      <c r="N120" s="17"/>
      <c r="O120" s="17"/>
    </row>
    <row r="121" spans="1:15">
      <c r="A121" s="16"/>
      <c r="B121" s="16"/>
      <c r="C121" s="16"/>
      <c r="D121" s="16"/>
      <c r="E121" s="16"/>
      <c r="F121" s="16"/>
      <c r="G121" s="17"/>
      <c r="H121" s="19">
        <v>42336</v>
      </c>
      <c r="I121" s="15"/>
      <c r="J121" s="15"/>
      <c r="K121" s="15"/>
      <c r="L121" s="15"/>
      <c r="M121" s="17"/>
      <c r="N121" s="17"/>
      <c r="O121" s="17"/>
    </row>
    <row r="122" spans="1:15">
      <c r="A122" s="16"/>
      <c r="B122" s="16"/>
      <c r="C122" s="16"/>
      <c r="D122" s="16"/>
      <c r="E122" s="16"/>
      <c r="F122" s="16"/>
      <c r="G122" s="17"/>
      <c r="H122" s="19">
        <v>42337</v>
      </c>
      <c r="I122" s="15"/>
      <c r="J122" s="15"/>
      <c r="K122" s="15"/>
      <c r="L122" s="15"/>
      <c r="M122" s="17"/>
      <c r="N122" s="17"/>
      <c r="O122" s="17"/>
    </row>
    <row r="123" spans="1:15">
      <c r="A123" s="16"/>
      <c r="B123" s="16"/>
      <c r="C123" s="16"/>
      <c r="D123" s="16"/>
      <c r="E123" s="16"/>
      <c r="F123" s="16"/>
      <c r="G123" s="17"/>
      <c r="H123" s="19">
        <v>42338</v>
      </c>
      <c r="I123" s="15"/>
      <c r="J123" s="15"/>
      <c r="K123" s="15"/>
      <c r="L123" s="15"/>
      <c r="M123" s="17"/>
      <c r="N123" s="17"/>
      <c r="O123" s="17"/>
    </row>
    <row r="124" spans="1:15">
      <c r="A124" s="16"/>
      <c r="B124" s="16"/>
      <c r="C124" s="16"/>
      <c r="D124" s="16"/>
      <c r="E124" s="16"/>
      <c r="F124" s="16"/>
      <c r="G124" s="17"/>
      <c r="H124" s="19">
        <v>42339</v>
      </c>
      <c r="I124" s="15"/>
      <c r="J124" s="15"/>
      <c r="K124" s="15"/>
      <c r="L124" s="15"/>
      <c r="M124" s="17"/>
      <c r="N124" s="17"/>
      <c r="O124" s="17"/>
    </row>
    <row r="125" spans="1:15">
      <c r="A125" s="16"/>
      <c r="B125" s="16"/>
      <c r="C125" s="16"/>
      <c r="D125" s="16"/>
      <c r="E125" s="16"/>
      <c r="F125" s="16"/>
      <c r="G125" s="17"/>
      <c r="H125" s="19">
        <v>42340</v>
      </c>
      <c r="I125" s="15"/>
      <c r="J125" s="15"/>
      <c r="K125" s="15"/>
      <c r="L125" s="15"/>
      <c r="M125" s="17"/>
      <c r="N125" s="17"/>
      <c r="O125" s="17"/>
    </row>
    <row r="126" spans="1:15">
      <c r="A126" s="16"/>
      <c r="B126" s="16"/>
      <c r="C126" s="16"/>
      <c r="D126" s="16"/>
      <c r="E126" s="16"/>
      <c r="F126" s="16"/>
      <c r="G126" s="17"/>
      <c r="H126" s="19">
        <v>42341</v>
      </c>
      <c r="I126" s="15"/>
      <c r="J126" s="15"/>
      <c r="K126" s="15"/>
      <c r="L126" s="15"/>
      <c r="M126" s="17"/>
      <c r="N126" s="17"/>
      <c r="O126" s="17"/>
    </row>
    <row r="127" spans="1:15">
      <c r="A127" s="16"/>
      <c r="B127" s="16"/>
      <c r="C127" s="16"/>
      <c r="D127" s="16"/>
      <c r="E127" s="16"/>
      <c r="F127" s="16"/>
      <c r="G127" s="17"/>
      <c r="H127" s="19">
        <v>42342</v>
      </c>
      <c r="I127" s="15"/>
      <c r="J127" s="15"/>
      <c r="K127" s="15"/>
      <c r="L127" s="15"/>
      <c r="M127" s="17"/>
      <c r="N127" s="17"/>
      <c r="O127" s="17"/>
    </row>
    <row r="128" spans="1:15">
      <c r="A128" s="16"/>
      <c r="B128" s="16"/>
      <c r="C128" s="16"/>
      <c r="D128" s="16"/>
      <c r="E128" s="16"/>
      <c r="F128" s="16"/>
      <c r="G128" s="17"/>
      <c r="H128" s="19">
        <v>42343</v>
      </c>
      <c r="I128" s="15"/>
      <c r="J128" s="15"/>
      <c r="K128" s="15"/>
      <c r="L128" s="15"/>
      <c r="M128" s="17"/>
      <c r="N128" s="17"/>
      <c r="O128" s="17"/>
    </row>
    <row r="129" spans="1:15">
      <c r="A129" s="16"/>
      <c r="B129" s="16"/>
      <c r="C129" s="16"/>
      <c r="D129" s="16"/>
      <c r="E129" s="16"/>
      <c r="F129" s="16"/>
      <c r="G129" s="17"/>
      <c r="H129" s="19">
        <v>42344</v>
      </c>
      <c r="I129" s="15"/>
      <c r="J129" s="15"/>
      <c r="K129" s="15"/>
      <c r="L129" s="15"/>
      <c r="M129" s="17"/>
      <c r="N129" s="17"/>
      <c r="O129" s="17"/>
    </row>
    <row r="130" spans="1:15">
      <c r="A130" s="16"/>
      <c r="B130" s="16"/>
      <c r="C130" s="16"/>
      <c r="D130" s="16"/>
      <c r="E130" s="16"/>
      <c r="F130" s="16"/>
      <c r="G130" s="17"/>
      <c r="H130" s="19">
        <v>42345</v>
      </c>
      <c r="I130" s="15"/>
      <c r="J130" s="15"/>
      <c r="K130" s="15"/>
      <c r="L130" s="15"/>
      <c r="M130" s="17"/>
      <c r="N130" s="17"/>
      <c r="O130" s="17"/>
    </row>
    <row r="131" spans="1:15">
      <c r="A131" s="16"/>
      <c r="B131" s="16"/>
      <c r="C131" s="16"/>
      <c r="D131" s="16"/>
      <c r="E131" s="16"/>
      <c r="F131" s="16"/>
      <c r="G131" s="17"/>
      <c r="H131" s="19">
        <v>42346</v>
      </c>
      <c r="I131" s="15"/>
      <c r="J131" s="15"/>
      <c r="K131" s="15"/>
      <c r="L131" s="15"/>
      <c r="M131" s="17"/>
      <c r="N131" s="17"/>
      <c r="O131" s="17"/>
    </row>
    <row r="132" spans="1:15">
      <c r="A132" s="16"/>
      <c r="B132" s="16"/>
      <c r="C132" s="16"/>
      <c r="D132" s="16"/>
      <c r="E132" s="16"/>
      <c r="F132" s="16"/>
      <c r="G132" s="17"/>
      <c r="H132" s="19">
        <v>42347</v>
      </c>
      <c r="I132" s="15"/>
      <c r="J132" s="15"/>
      <c r="K132" s="15"/>
      <c r="L132" s="15"/>
      <c r="M132" s="17"/>
      <c r="N132" s="17"/>
      <c r="O132" s="17"/>
    </row>
    <row r="133" spans="1:15">
      <c r="A133" s="16"/>
      <c r="B133" s="16"/>
      <c r="C133" s="16"/>
      <c r="D133" s="16"/>
      <c r="E133" s="16"/>
      <c r="F133" s="16"/>
      <c r="G133" s="17"/>
      <c r="H133" s="19">
        <v>42348</v>
      </c>
      <c r="I133" s="15"/>
      <c r="J133" s="15"/>
      <c r="K133" s="15"/>
      <c r="L133" s="15"/>
      <c r="M133" s="17"/>
      <c r="N133" s="17"/>
      <c r="O133" s="17"/>
    </row>
    <row r="134" spans="1:15">
      <c r="A134" s="16"/>
      <c r="B134" s="16"/>
      <c r="C134" s="16"/>
      <c r="D134" s="16"/>
      <c r="E134" s="16"/>
      <c r="F134" s="16"/>
      <c r="G134" s="17"/>
      <c r="H134" s="19">
        <v>42349</v>
      </c>
      <c r="I134" s="15"/>
      <c r="J134" s="15"/>
      <c r="K134" s="15"/>
      <c r="L134" s="15"/>
      <c r="M134" s="17"/>
      <c r="N134" s="17"/>
      <c r="O134" s="17"/>
    </row>
    <row r="135" spans="1:15">
      <c r="A135" s="16"/>
      <c r="B135" s="16"/>
      <c r="C135" s="16"/>
      <c r="D135" s="16"/>
      <c r="E135" s="16"/>
      <c r="F135" s="16"/>
      <c r="G135" s="17"/>
      <c r="H135" s="19">
        <v>42350</v>
      </c>
      <c r="I135" s="15"/>
      <c r="J135" s="15"/>
      <c r="K135" s="15"/>
      <c r="L135" s="15"/>
      <c r="M135" s="17"/>
      <c r="N135" s="17"/>
      <c r="O135" s="17"/>
    </row>
    <row r="136" spans="1:15">
      <c r="A136" s="16"/>
      <c r="B136" s="16"/>
      <c r="C136" s="16"/>
      <c r="D136" s="16"/>
      <c r="E136" s="16"/>
      <c r="F136" s="16"/>
      <c r="G136" s="17"/>
      <c r="H136" s="19">
        <v>42351</v>
      </c>
      <c r="I136" s="15"/>
      <c r="J136" s="15"/>
      <c r="K136" s="15"/>
      <c r="L136" s="15"/>
      <c r="M136" s="17"/>
      <c r="N136" s="17"/>
      <c r="O136" s="17"/>
    </row>
    <row r="137" spans="1:15">
      <c r="A137" s="16"/>
      <c r="B137" s="16"/>
      <c r="C137" s="16"/>
      <c r="D137" s="16"/>
      <c r="E137" s="16"/>
      <c r="F137" s="16"/>
      <c r="G137" s="17"/>
      <c r="H137" s="19">
        <v>42352</v>
      </c>
      <c r="I137" s="15"/>
      <c r="J137" s="15"/>
      <c r="K137" s="15"/>
      <c r="L137" s="15"/>
      <c r="M137" s="17"/>
      <c r="N137" s="17"/>
      <c r="O137" s="17"/>
    </row>
    <row r="138" spans="1:15">
      <c r="A138" s="16"/>
      <c r="B138" s="16"/>
      <c r="C138" s="16"/>
      <c r="D138" s="16"/>
      <c r="E138" s="16"/>
      <c r="F138" s="16"/>
      <c r="G138" s="17"/>
      <c r="H138" s="19">
        <v>42353</v>
      </c>
      <c r="I138" s="15"/>
      <c r="J138" s="15"/>
      <c r="K138" s="15"/>
      <c r="L138" s="15"/>
      <c r="M138" s="17"/>
      <c r="N138" s="17"/>
      <c r="O138" s="17"/>
    </row>
    <row r="139" spans="1:15">
      <c r="A139" s="16"/>
      <c r="B139" s="16"/>
      <c r="C139" s="16"/>
      <c r="D139" s="16"/>
      <c r="E139" s="16"/>
      <c r="F139" s="16"/>
      <c r="G139" s="17"/>
      <c r="H139" s="19">
        <v>42354</v>
      </c>
      <c r="I139" s="15"/>
      <c r="J139" s="15"/>
      <c r="K139" s="15"/>
      <c r="L139" s="15"/>
      <c r="M139" s="17"/>
      <c r="N139" s="17"/>
      <c r="O139" s="17"/>
    </row>
    <row r="140" spans="1:15">
      <c r="A140" s="16"/>
      <c r="B140" s="16"/>
      <c r="C140" s="16"/>
      <c r="D140" s="16"/>
      <c r="E140" s="16"/>
      <c r="F140" s="16"/>
      <c r="G140" s="17"/>
      <c r="H140" s="19">
        <v>42355</v>
      </c>
      <c r="I140" s="15"/>
      <c r="J140" s="15"/>
      <c r="K140" s="15"/>
      <c r="L140" s="15"/>
      <c r="M140" s="17"/>
      <c r="N140" s="17"/>
      <c r="O140" s="17"/>
    </row>
    <row r="141" spans="1:15">
      <c r="A141" s="16"/>
      <c r="B141" s="16"/>
      <c r="C141" s="16"/>
      <c r="D141" s="16"/>
      <c r="E141" s="16"/>
      <c r="F141" s="16"/>
      <c r="G141" s="17"/>
      <c r="H141" s="19">
        <v>42356</v>
      </c>
      <c r="I141" s="15"/>
      <c r="J141" s="15"/>
      <c r="K141" s="15"/>
      <c r="L141" s="15"/>
      <c r="M141" s="17"/>
      <c r="N141" s="17"/>
      <c r="O141" s="17"/>
    </row>
    <row r="142" spans="1:15">
      <c r="A142" s="16"/>
      <c r="B142" s="16"/>
      <c r="C142" s="16"/>
      <c r="D142" s="16"/>
      <c r="E142" s="16"/>
      <c r="F142" s="16"/>
      <c r="G142" s="17"/>
      <c r="H142" s="19">
        <v>42357</v>
      </c>
      <c r="I142" s="15"/>
      <c r="J142" s="15"/>
      <c r="K142" s="15"/>
      <c r="L142" s="15"/>
      <c r="M142" s="17"/>
      <c r="N142" s="17"/>
      <c r="O142" s="17"/>
    </row>
    <row r="143" spans="1:15">
      <c r="A143" s="16"/>
      <c r="B143" s="16"/>
      <c r="C143" s="16"/>
      <c r="D143" s="16"/>
      <c r="E143" s="16"/>
      <c r="F143" s="16"/>
      <c r="G143" s="17"/>
      <c r="H143" s="19">
        <v>42358</v>
      </c>
      <c r="I143" s="15"/>
      <c r="J143" s="15"/>
      <c r="K143" s="15"/>
      <c r="L143" s="15"/>
      <c r="M143" s="17"/>
      <c r="N143" s="17"/>
      <c r="O143" s="17"/>
    </row>
    <row r="144" spans="1:15">
      <c r="A144" s="16"/>
      <c r="B144" s="16"/>
      <c r="C144" s="16"/>
      <c r="D144" s="16"/>
      <c r="E144" s="16"/>
      <c r="F144" s="16"/>
      <c r="G144" s="17"/>
      <c r="H144" s="19">
        <v>42359</v>
      </c>
      <c r="I144" s="15"/>
      <c r="J144" s="15"/>
      <c r="K144" s="15"/>
      <c r="L144" s="15"/>
      <c r="M144" s="17"/>
      <c r="N144" s="17"/>
      <c r="O144" s="17"/>
    </row>
    <row r="145" spans="1:15">
      <c r="A145" s="16"/>
      <c r="B145" s="16"/>
      <c r="C145" s="16"/>
      <c r="D145" s="16"/>
      <c r="E145" s="16"/>
      <c r="F145" s="16"/>
      <c r="G145" s="17"/>
      <c r="H145" s="19">
        <v>42360</v>
      </c>
      <c r="I145" s="15"/>
      <c r="J145" s="15"/>
      <c r="K145" s="15"/>
      <c r="L145" s="15"/>
      <c r="M145" s="17"/>
      <c r="N145" s="17"/>
      <c r="O145" s="17"/>
    </row>
    <row r="146" spans="1:15">
      <c r="A146" s="16"/>
      <c r="B146" s="16"/>
      <c r="C146" s="16"/>
      <c r="D146" s="16"/>
      <c r="E146" s="16"/>
      <c r="F146" s="16"/>
      <c r="G146" s="17"/>
      <c r="H146" s="19">
        <v>42361</v>
      </c>
      <c r="I146" s="15"/>
      <c r="J146" s="15"/>
      <c r="K146" s="15"/>
      <c r="L146" s="15"/>
      <c r="M146" s="17"/>
      <c r="N146" s="17"/>
      <c r="O146" s="17"/>
    </row>
    <row r="147" spans="1:15">
      <c r="A147" s="16"/>
      <c r="B147" s="16"/>
      <c r="C147" s="16"/>
      <c r="D147" s="16"/>
      <c r="E147" s="16"/>
      <c r="F147" s="16"/>
      <c r="G147" s="17"/>
      <c r="H147" s="19">
        <v>42362</v>
      </c>
      <c r="I147" s="15"/>
      <c r="J147" s="15"/>
      <c r="K147" s="15"/>
      <c r="L147" s="15"/>
      <c r="M147" s="17"/>
      <c r="N147" s="17"/>
      <c r="O147" s="17"/>
    </row>
    <row r="148" spans="1:15">
      <c r="A148" s="16"/>
      <c r="B148" s="16"/>
      <c r="C148" s="16"/>
      <c r="D148" s="16"/>
      <c r="E148" s="16"/>
      <c r="F148" s="16"/>
      <c r="G148" s="17"/>
      <c r="H148" s="19">
        <v>42363</v>
      </c>
      <c r="I148" s="15"/>
      <c r="J148" s="15"/>
      <c r="K148" s="15"/>
      <c r="L148" s="15"/>
      <c r="M148" s="17"/>
      <c r="N148" s="17"/>
      <c r="O148" s="17"/>
    </row>
    <row r="149" spans="1:15">
      <c r="A149" s="16"/>
      <c r="B149" s="16"/>
      <c r="C149" s="16"/>
      <c r="D149" s="16"/>
      <c r="E149" s="16"/>
      <c r="F149" s="16"/>
      <c r="G149" s="17"/>
      <c r="H149" s="19">
        <v>42364</v>
      </c>
      <c r="I149" s="15"/>
      <c r="J149" s="15"/>
      <c r="K149" s="15"/>
      <c r="L149" s="15"/>
      <c r="M149" s="17"/>
      <c r="N149" s="17"/>
      <c r="O149" s="17"/>
    </row>
    <row r="150" spans="1:15">
      <c r="A150" s="16"/>
      <c r="B150" s="16"/>
      <c r="C150" s="16"/>
      <c r="D150" s="16"/>
      <c r="E150" s="16"/>
      <c r="F150" s="16"/>
      <c r="G150" s="17"/>
      <c r="H150" s="19">
        <v>42365</v>
      </c>
      <c r="I150" s="15"/>
      <c r="J150" s="15"/>
      <c r="K150" s="15"/>
      <c r="L150" s="15"/>
      <c r="M150" s="17"/>
      <c r="N150" s="17"/>
      <c r="O150" s="17"/>
    </row>
    <row r="151" spans="1:15">
      <c r="A151" s="16"/>
      <c r="B151" s="16"/>
      <c r="C151" s="16"/>
      <c r="D151" s="16"/>
      <c r="E151" s="16"/>
      <c r="F151" s="16"/>
      <c r="G151" s="17"/>
      <c r="H151" s="19">
        <v>42366</v>
      </c>
      <c r="I151" s="15"/>
      <c r="J151" s="15"/>
      <c r="K151" s="15"/>
      <c r="L151" s="15"/>
      <c r="M151" s="17"/>
      <c r="N151" s="17"/>
      <c r="O151" s="17"/>
    </row>
    <row r="152" spans="1:15">
      <c r="A152" s="16"/>
      <c r="B152" s="16"/>
      <c r="C152" s="16"/>
      <c r="D152" s="16"/>
      <c r="E152" s="16"/>
      <c r="F152" s="16"/>
      <c r="G152" s="17"/>
      <c r="H152" s="19">
        <v>42367</v>
      </c>
      <c r="I152" s="15"/>
      <c r="J152" s="15"/>
      <c r="K152" s="15"/>
      <c r="L152" s="15"/>
      <c r="M152" s="17"/>
      <c r="N152" s="17"/>
      <c r="O152" s="17"/>
    </row>
    <row r="153" spans="1:15">
      <c r="A153" s="16"/>
      <c r="B153" s="16"/>
      <c r="C153" s="16"/>
      <c r="D153" s="16"/>
      <c r="E153" s="16"/>
      <c r="F153" s="16"/>
      <c r="G153" s="17"/>
      <c r="H153" s="19">
        <v>42368</v>
      </c>
      <c r="I153" s="15"/>
      <c r="J153" s="15"/>
      <c r="K153" s="15"/>
      <c r="L153" s="15"/>
      <c r="M153" s="17"/>
      <c r="N153" s="17"/>
      <c r="O153" s="17"/>
    </row>
    <row r="154" spans="1:15">
      <c r="A154" s="16"/>
      <c r="B154" s="16"/>
      <c r="C154" s="16"/>
      <c r="D154" s="16"/>
      <c r="E154" s="16"/>
      <c r="F154" s="16"/>
      <c r="G154" s="17"/>
      <c r="H154" s="19">
        <v>42369</v>
      </c>
      <c r="I154" s="15"/>
      <c r="J154" s="15"/>
      <c r="K154" s="15"/>
      <c r="L154" s="15"/>
      <c r="M154" s="17"/>
      <c r="N154" s="17"/>
      <c r="O154" s="17"/>
    </row>
    <row r="155" spans="1:15">
      <c r="A155" s="16"/>
      <c r="B155" s="16"/>
      <c r="C155" s="16"/>
      <c r="D155" s="16"/>
      <c r="E155" s="16"/>
      <c r="F155" s="16"/>
      <c r="G155" s="17"/>
      <c r="I155" s="15"/>
      <c r="J155" s="15"/>
      <c r="K155" s="15"/>
      <c r="L155" s="15"/>
      <c r="M155" s="17"/>
      <c r="N155" s="17"/>
      <c r="O155" s="17"/>
    </row>
    <row r="156" spans="1:15">
      <c r="A156" s="16"/>
      <c r="B156" s="16"/>
      <c r="C156" s="16"/>
      <c r="D156" s="16"/>
      <c r="E156" s="16"/>
      <c r="F156" s="16"/>
      <c r="G156" s="17"/>
      <c r="I156" s="15"/>
      <c r="J156" s="15"/>
      <c r="K156" s="15"/>
      <c r="L156" s="15"/>
      <c r="M156" s="17"/>
      <c r="N156" s="17"/>
      <c r="O156" s="17"/>
    </row>
    <row r="157" spans="1:15">
      <c r="A157" s="16"/>
      <c r="B157" s="16"/>
      <c r="C157" s="16"/>
      <c r="D157" s="16"/>
      <c r="E157" s="16"/>
      <c r="F157" s="16"/>
      <c r="G157" s="17"/>
      <c r="I157" s="15"/>
      <c r="J157" s="15"/>
      <c r="K157" s="15"/>
      <c r="L157" s="15"/>
      <c r="M157" s="17"/>
      <c r="N157" s="17"/>
      <c r="O157" s="17"/>
    </row>
    <row r="158" spans="1:15">
      <c r="A158" s="16"/>
      <c r="B158" s="16"/>
      <c r="C158" s="16"/>
      <c r="D158" s="16"/>
      <c r="E158" s="16"/>
      <c r="F158" s="16"/>
      <c r="G158" s="17"/>
      <c r="I158" s="15"/>
      <c r="J158" s="15"/>
      <c r="K158" s="15"/>
      <c r="L158" s="15"/>
      <c r="M158" s="17"/>
      <c r="N158" s="17"/>
      <c r="O158" s="17"/>
    </row>
    <row r="159" spans="1:15">
      <c r="A159" s="16"/>
      <c r="B159" s="16"/>
      <c r="C159" s="16"/>
      <c r="D159" s="16"/>
      <c r="E159" s="16"/>
      <c r="F159" s="16"/>
      <c r="G159" s="17"/>
      <c r="I159" s="15"/>
      <c r="J159" s="15"/>
      <c r="K159" s="15"/>
      <c r="L159" s="15"/>
      <c r="M159" s="17"/>
      <c r="N159" s="17"/>
      <c r="O159" s="17"/>
    </row>
    <row r="160" spans="1:15">
      <c r="A160" s="16"/>
      <c r="B160" s="16"/>
      <c r="C160" s="16"/>
      <c r="D160" s="16"/>
      <c r="E160" s="16"/>
      <c r="F160" s="16"/>
      <c r="G160" s="17"/>
      <c r="I160" s="15"/>
      <c r="J160" s="15"/>
      <c r="K160" s="15"/>
      <c r="L160" s="15"/>
      <c r="M160" s="17"/>
      <c r="N160" s="17"/>
      <c r="O160" s="17"/>
    </row>
    <row r="161" spans="1:15">
      <c r="A161" s="16"/>
      <c r="B161" s="16"/>
      <c r="C161" s="16"/>
      <c r="D161" s="16"/>
      <c r="E161" s="16"/>
      <c r="F161" s="16"/>
      <c r="G161" s="17"/>
      <c r="I161" s="15"/>
      <c r="J161" s="15"/>
      <c r="K161" s="15"/>
      <c r="L161" s="15"/>
      <c r="M161" s="17"/>
      <c r="N161" s="17"/>
      <c r="O161" s="17"/>
    </row>
    <row r="162" spans="1:15">
      <c r="A162" s="16"/>
      <c r="B162" s="16"/>
      <c r="C162" s="16"/>
      <c r="D162" s="16"/>
      <c r="E162" s="16"/>
      <c r="F162" s="16"/>
      <c r="G162" s="17"/>
      <c r="I162" s="15"/>
      <c r="J162" s="15"/>
      <c r="K162" s="15"/>
      <c r="L162" s="15"/>
      <c r="M162" s="17"/>
      <c r="N162" s="17"/>
      <c r="O162" s="17"/>
    </row>
    <row r="163" spans="1:15">
      <c r="A163" s="16"/>
      <c r="B163" s="16"/>
      <c r="C163" s="16"/>
      <c r="D163" s="16"/>
      <c r="E163" s="16"/>
      <c r="F163" s="16"/>
      <c r="G163" s="17"/>
      <c r="I163" s="15"/>
      <c r="J163" s="15"/>
      <c r="K163" s="15"/>
      <c r="L163" s="15"/>
      <c r="M163" s="17"/>
      <c r="N163" s="17"/>
      <c r="O163" s="17"/>
    </row>
    <row r="164" spans="1:15">
      <c r="A164" s="16"/>
      <c r="B164" s="16"/>
      <c r="C164" s="16"/>
      <c r="D164" s="16"/>
      <c r="E164" s="16"/>
      <c r="F164" s="16"/>
      <c r="G164" s="17"/>
      <c r="I164" s="15"/>
      <c r="J164" s="15"/>
      <c r="K164" s="15"/>
      <c r="L164" s="15"/>
      <c r="M164" s="17"/>
      <c r="N164" s="17"/>
      <c r="O164" s="17"/>
    </row>
    <row r="165" spans="1:15">
      <c r="A165" s="16"/>
      <c r="B165" s="16"/>
      <c r="C165" s="16"/>
      <c r="D165" s="16"/>
      <c r="E165" s="16"/>
      <c r="F165" s="16"/>
      <c r="G165" s="17"/>
      <c r="I165" s="15"/>
      <c r="J165" s="15"/>
      <c r="K165" s="15"/>
      <c r="L165" s="15"/>
      <c r="M165" s="17"/>
      <c r="N165" s="17"/>
      <c r="O165" s="17"/>
    </row>
    <row r="166" spans="1:15">
      <c r="A166" s="16"/>
      <c r="B166" s="16"/>
      <c r="C166" s="16"/>
      <c r="D166" s="16"/>
      <c r="E166" s="16"/>
      <c r="F166" s="16"/>
      <c r="G166" s="17"/>
      <c r="I166" s="15"/>
      <c r="J166" s="15"/>
      <c r="K166" s="15"/>
      <c r="L166" s="15"/>
      <c r="M166" s="17"/>
      <c r="N166" s="17"/>
      <c r="O166" s="17"/>
    </row>
    <row r="167" spans="1:15">
      <c r="A167" s="16"/>
      <c r="B167" s="16"/>
      <c r="C167" s="16"/>
      <c r="D167" s="16"/>
      <c r="E167" s="16"/>
      <c r="F167" s="16"/>
      <c r="G167" s="17"/>
      <c r="I167" s="15"/>
      <c r="J167" s="15"/>
      <c r="K167" s="15"/>
      <c r="L167" s="15"/>
      <c r="M167" s="17"/>
      <c r="N167" s="17"/>
      <c r="O167" s="17"/>
    </row>
    <row r="168" spans="1:15">
      <c r="A168" s="16"/>
      <c r="B168" s="16"/>
      <c r="C168" s="16"/>
      <c r="D168" s="16"/>
      <c r="E168" s="16"/>
      <c r="F168" s="16"/>
      <c r="G168" s="17"/>
      <c r="I168" s="15"/>
      <c r="J168" s="15"/>
      <c r="K168" s="15"/>
      <c r="L168" s="15"/>
      <c r="M168" s="17"/>
      <c r="N168" s="17"/>
      <c r="O168" s="17"/>
    </row>
    <row r="169" spans="1:15">
      <c r="A169" s="16"/>
      <c r="B169" s="16"/>
      <c r="C169" s="16"/>
      <c r="D169" s="16"/>
      <c r="E169" s="16"/>
      <c r="F169" s="16"/>
      <c r="G169" s="17"/>
      <c r="I169" s="15"/>
      <c r="J169" s="15"/>
      <c r="K169" s="15"/>
      <c r="L169" s="15"/>
      <c r="M169" s="17"/>
      <c r="N169" s="17"/>
      <c r="O169" s="17"/>
    </row>
    <row r="170" spans="1:15">
      <c r="A170" s="16"/>
      <c r="B170" s="16"/>
      <c r="C170" s="16"/>
      <c r="D170" s="16"/>
      <c r="E170" s="16"/>
      <c r="F170" s="16"/>
      <c r="G170" s="17"/>
      <c r="I170" s="15"/>
      <c r="J170" s="15"/>
      <c r="K170" s="15"/>
      <c r="L170" s="15"/>
      <c r="M170" s="17"/>
      <c r="N170" s="17"/>
      <c r="O170" s="17"/>
    </row>
    <row r="171" spans="1:15">
      <c r="A171" s="16"/>
      <c r="B171" s="16"/>
      <c r="C171" s="16"/>
      <c r="D171" s="16"/>
      <c r="E171" s="16"/>
      <c r="F171" s="16"/>
      <c r="G171" s="17"/>
      <c r="I171" s="15"/>
      <c r="J171" s="15"/>
      <c r="K171" s="15"/>
      <c r="L171" s="15"/>
      <c r="M171" s="17"/>
      <c r="N171" s="17"/>
      <c r="O171" s="17"/>
    </row>
    <row r="172" spans="1:15">
      <c r="A172" s="16"/>
      <c r="B172" s="16"/>
      <c r="C172" s="16"/>
      <c r="D172" s="16"/>
      <c r="E172" s="16"/>
      <c r="F172" s="16"/>
      <c r="G172" s="17"/>
      <c r="I172" s="15"/>
      <c r="J172" s="15"/>
      <c r="K172" s="15"/>
      <c r="L172" s="15"/>
      <c r="M172" s="17"/>
      <c r="N172" s="17"/>
      <c r="O172" s="17"/>
    </row>
    <row r="173" spans="1:15">
      <c r="A173" s="16"/>
      <c r="B173" s="16"/>
      <c r="C173" s="16"/>
      <c r="D173" s="16"/>
      <c r="E173" s="16"/>
      <c r="F173" s="16"/>
      <c r="G173" s="17"/>
      <c r="I173" s="15"/>
      <c r="J173" s="15"/>
      <c r="K173" s="15"/>
      <c r="L173" s="15"/>
      <c r="M173" s="17"/>
      <c r="N173" s="17"/>
      <c r="O173" s="17"/>
    </row>
    <row r="174" spans="1:15">
      <c r="A174" s="16"/>
      <c r="B174" s="16"/>
      <c r="C174" s="16"/>
      <c r="D174" s="16"/>
      <c r="E174" s="16"/>
      <c r="F174" s="16"/>
      <c r="G174" s="17"/>
      <c r="I174" s="15"/>
      <c r="J174" s="15"/>
      <c r="K174" s="15"/>
      <c r="L174" s="15"/>
      <c r="M174" s="17"/>
      <c r="N174" s="17"/>
      <c r="O174" s="17"/>
    </row>
    <row r="175" spans="1:15">
      <c r="A175" s="16"/>
      <c r="B175" s="16"/>
      <c r="C175" s="16"/>
      <c r="D175" s="16"/>
      <c r="E175" s="16"/>
      <c r="F175" s="16"/>
      <c r="G175" s="17"/>
      <c r="I175" s="15"/>
      <c r="J175" s="15"/>
      <c r="K175" s="15"/>
      <c r="L175" s="15"/>
      <c r="M175" s="17"/>
      <c r="N175" s="17"/>
      <c r="O175" s="17"/>
    </row>
    <row r="176" spans="1:15">
      <c r="A176" s="16"/>
      <c r="B176" s="16"/>
      <c r="C176" s="16"/>
      <c r="D176" s="16"/>
      <c r="E176" s="16"/>
      <c r="F176" s="16"/>
      <c r="G176" s="17"/>
      <c r="I176" s="15"/>
      <c r="J176" s="15"/>
      <c r="K176" s="15"/>
      <c r="L176" s="15"/>
      <c r="M176" s="17"/>
      <c r="N176" s="17"/>
      <c r="O176" s="17"/>
    </row>
    <row r="177" spans="1:15">
      <c r="A177" s="16"/>
      <c r="B177" s="16"/>
      <c r="C177" s="16"/>
      <c r="D177" s="16"/>
      <c r="E177" s="16"/>
      <c r="F177" s="16"/>
      <c r="G177" s="17"/>
      <c r="I177" s="15"/>
      <c r="J177" s="15"/>
      <c r="K177" s="15"/>
      <c r="L177" s="15"/>
      <c r="M177" s="17"/>
      <c r="N177" s="17"/>
      <c r="O177" s="17"/>
    </row>
    <row r="178" spans="1:15">
      <c r="A178" s="16"/>
      <c r="B178" s="16"/>
      <c r="C178" s="16"/>
      <c r="D178" s="16"/>
      <c r="E178" s="16"/>
      <c r="F178" s="16"/>
      <c r="G178" s="17"/>
      <c r="I178" s="15"/>
      <c r="J178" s="15"/>
      <c r="K178" s="15"/>
      <c r="L178" s="15"/>
      <c r="M178" s="17"/>
      <c r="N178" s="17"/>
      <c r="O178" s="17"/>
    </row>
    <row r="179" spans="1:15">
      <c r="A179" s="16"/>
      <c r="B179" s="16"/>
      <c r="C179" s="16"/>
      <c r="D179" s="16"/>
      <c r="E179" s="16"/>
      <c r="F179" s="16"/>
      <c r="G179" s="17"/>
      <c r="I179" s="15"/>
      <c r="J179" s="15"/>
      <c r="K179" s="15"/>
      <c r="L179" s="15"/>
      <c r="M179" s="17"/>
      <c r="N179" s="17"/>
      <c r="O179" s="17"/>
    </row>
    <row r="180" spans="1:15">
      <c r="A180" s="16"/>
      <c r="B180" s="16"/>
      <c r="C180" s="16"/>
      <c r="D180" s="16"/>
      <c r="E180" s="16"/>
      <c r="F180" s="16"/>
      <c r="G180" s="17"/>
      <c r="I180" s="15"/>
      <c r="J180" s="15"/>
      <c r="K180" s="15"/>
      <c r="L180" s="15"/>
      <c r="M180" s="17"/>
      <c r="N180" s="17"/>
      <c r="O180" s="17"/>
    </row>
    <row r="181" spans="1:15">
      <c r="A181" s="16"/>
      <c r="B181" s="16"/>
      <c r="C181" s="16"/>
      <c r="D181" s="16"/>
      <c r="E181" s="16"/>
      <c r="F181" s="16"/>
      <c r="G181" s="17"/>
      <c r="I181" s="15"/>
      <c r="J181" s="15"/>
      <c r="K181" s="15"/>
      <c r="L181" s="15"/>
      <c r="M181" s="17"/>
      <c r="N181" s="17"/>
      <c r="O181" s="17"/>
    </row>
    <row r="182" spans="1:15">
      <c r="A182" s="16"/>
      <c r="B182" s="16"/>
      <c r="C182" s="16"/>
      <c r="D182" s="16"/>
      <c r="E182" s="16"/>
      <c r="F182" s="16"/>
      <c r="G182" s="17"/>
      <c r="I182" s="15"/>
      <c r="J182" s="15"/>
      <c r="K182" s="15"/>
      <c r="L182" s="15"/>
      <c r="M182" s="17"/>
      <c r="N182" s="17"/>
      <c r="O182" s="17"/>
    </row>
    <row r="183" spans="1:15">
      <c r="A183" s="16"/>
      <c r="B183" s="16"/>
      <c r="C183" s="16"/>
      <c r="D183" s="16"/>
      <c r="E183" s="16"/>
      <c r="F183" s="16"/>
      <c r="G183" s="17"/>
      <c r="I183" s="15"/>
      <c r="J183" s="15"/>
      <c r="K183" s="15"/>
      <c r="L183" s="15"/>
      <c r="M183" s="16"/>
      <c r="N183" s="16"/>
      <c r="O183" s="16"/>
    </row>
    <row r="184" spans="1:15">
      <c r="A184" s="16"/>
      <c r="B184" s="16"/>
      <c r="C184" s="16"/>
      <c r="D184" s="16"/>
      <c r="E184" s="16"/>
      <c r="F184" s="16"/>
      <c r="G184" s="17"/>
      <c r="I184" s="15"/>
      <c r="J184" s="15"/>
      <c r="K184" s="15"/>
      <c r="L184" s="15"/>
      <c r="M184" s="16"/>
      <c r="N184" s="16"/>
      <c r="O184" s="16"/>
    </row>
    <row r="185" spans="1:15">
      <c r="A185" s="16"/>
      <c r="B185" s="16"/>
      <c r="C185" s="16"/>
      <c r="D185" s="16"/>
      <c r="E185" s="16"/>
      <c r="F185" s="16"/>
      <c r="G185" s="17"/>
      <c r="I185" s="15"/>
      <c r="J185" s="15"/>
      <c r="K185" s="15"/>
      <c r="L185" s="15"/>
      <c r="M185" s="16"/>
      <c r="N185" s="16"/>
      <c r="O185" s="16"/>
    </row>
    <row r="186" spans="1:15">
      <c r="A186" s="17"/>
      <c r="B186" s="17"/>
      <c r="C186" s="17"/>
      <c r="D186" s="17"/>
      <c r="E186" s="17"/>
      <c r="F186" s="17"/>
      <c r="G186" s="17"/>
      <c r="H186" s="19"/>
      <c r="I186" s="15"/>
      <c r="J186" s="15"/>
      <c r="K186" s="15"/>
      <c r="L186" s="15"/>
      <c r="M186" s="17"/>
      <c r="N186" s="17"/>
      <c r="O186" s="17"/>
    </row>
    <row r="187" spans="1:15">
      <c r="A187" s="17"/>
      <c r="B187" s="17"/>
      <c r="C187" s="17"/>
      <c r="D187" s="17"/>
      <c r="E187" s="17"/>
      <c r="F187" s="17"/>
      <c r="G187" s="17"/>
      <c r="H187" s="19"/>
      <c r="I187" s="15"/>
      <c r="J187" s="15"/>
      <c r="K187" s="15"/>
      <c r="L187" s="15"/>
      <c r="M187" s="17"/>
      <c r="N187" s="17"/>
      <c r="O187" s="17"/>
    </row>
    <row r="188" spans="1:15">
      <c r="A188" s="17"/>
      <c r="B188" s="17"/>
      <c r="C188" s="17"/>
      <c r="D188" s="17"/>
      <c r="E188" s="17"/>
      <c r="F188" s="17"/>
      <c r="G188" s="17"/>
      <c r="H188" s="19"/>
      <c r="I188" s="15"/>
      <c r="J188" s="15"/>
      <c r="K188" s="15"/>
      <c r="L188" s="15"/>
      <c r="M188" s="17"/>
      <c r="N188" s="17"/>
      <c r="O188" s="17"/>
    </row>
    <row r="189" spans="1:15">
      <c r="A189" s="17"/>
      <c r="B189" s="17"/>
      <c r="C189" s="17"/>
      <c r="D189" s="17"/>
      <c r="E189" s="17"/>
      <c r="F189" s="17"/>
      <c r="G189" s="17"/>
      <c r="H189" s="19"/>
      <c r="I189" s="15"/>
      <c r="J189" s="15"/>
      <c r="K189" s="15"/>
      <c r="L189" s="15"/>
      <c r="M189" s="17"/>
      <c r="N189" s="17"/>
      <c r="O189" s="17"/>
    </row>
    <row r="190" spans="1:15">
      <c r="A190" s="17"/>
      <c r="B190" s="17"/>
      <c r="C190" s="17"/>
      <c r="D190" s="17"/>
      <c r="E190" s="17"/>
      <c r="F190" s="17"/>
      <c r="G190" s="17"/>
      <c r="H190" s="19"/>
      <c r="I190" s="15"/>
      <c r="J190" s="15"/>
      <c r="K190" s="15"/>
      <c r="L190" s="15"/>
      <c r="M190" s="17"/>
      <c r="N190" s="17"/>
      <c r="O190" s="17"/>
    </row>
    <row r="191" spans="1:15">
      <c r="A191" s="17"/>
      <c r="B191" s="17"/>
      <c r="C191" s="17"/>
      <c r="D191" s="17"/>
      <c r="E191" s="17"/>
      <c r="F191" s="17"/>
      <c r="G191" s="17"/>
      <c r="H191" s="19"/>
      <c r="I191" s="15"/>
      <c r="J191" s="15"/>
      <c r="K191" s="15"/>
      <c r="L191" s="15"/>
      <c r="M191" s="17"/>
      <c r="N191" s="17"/>
      <c r="O191" s="17"/>
    </row>
    <row r="192" spans="1:15">
      <c r="A192" s="17"/>
      <c r="B192" s="17"/>
      <c r="C192" s="17"/>
      <c r="D192" s="17"/>
      <c r="E192" s="17"/>
      <c r="F192" s="17"/>
      <c r="G192" s="17"/>
      <c r="H192" s="19"/>
      <c r="I192" s="15"/>
      <c r="J192" s="15"/>
      <c r="K192" s="15"/>
      <c r="L192" s="15"/>
      <c r="M192" s="17"/>
      <c r="N192" s="17"/>
      <c r="O192" s="17"/>
    </row>
    <row r="193" spans="1:15">
      <c r="A193" s="17"/>
      <c r="B193" s="17"/>
      <c r="C193" s="17"/>
      <c r="D193" s="17"/>
      <c r="E193" s="17"/>
      <c r="F193" s="17"/>
      <c r="G193" s="17"/>
      <c r="H193" s="19"/>
      <c r="I193" s="15"/>
      <c r="J193" s="15"/>
      <c r="K193" s="15"/>
      <c r="L193" s="15"/>
      <c r="M193" s="17"/>
      <c r="N193" s="17"/>
      <c r="O193" s="17"/>
    </row>
    <row r="194" spans="1:15">
      <c r="A194" s="17"/>
      <c r="B194" s="17"/>
      <c r="C194" s="17"/>
      <c r="D194" s="17"/>
      <c r="E194" s="17"/>
      <c r="F194" s="17"/>
      <c r="G194" s="17"/>
      <c r="H194" s="19"/>
      <c r="I194" s="15"/>
      <c r="J194" s="15"/>
      <c r="K194" s="15"/>
      <c r="L194" s="15"/>
      <c r="M194" s="17"/>
      <c r="N194" s="17"/>
      <c r="O194" s="17"/>
    </row>
    <row r="195" spans="1:15">
      <c r="A195" s="17"/>
      <c r="B195" s="17"/>
      <c r="C195" s="17"/>
      <c r="D195" s="17"/>
      <c r="E195" s="17"/>
      <c r="F195" s="17"/>
      <c r="G195" s="17"/>
      <c r="H195" s="19"/>
      <c r="I195" s="15"/>
      <c r="J195" s="15"/>
      <c r="K195" s="15"/>
      <c r="L195" s="15"/>
      <c r="M195" s="17"/>
      <c r="N195" s="17"/>
      <c r="O195" s="17"/>
    </row>
    <row r="196" spans="1:15">
      <c r="A196" s="17"/>
      <c r="B196" s="17"/>
      <c r="C196" s="17"/>
      <c r="D196" s="17"/>
      <c r="E196" s="17"/>
      <c r="F196" s="17"/>
      <c r="G196" s="17"/>
      <c r="H196" s="19"/>
      <c r="I196" s="15"/>
      <c r="J196" s="15"/>
      <c r="K196" s="15"/>
      <c r="L196" s="15"/>
      <c r="M196" s="17"/>
      <c r="N196" s="17"/>
      <c r="O196" s="17"/>
    </row>
    <row r="197" spans="1:15">
      <c r="A197" s="17"/>
      <c r="B197" s="17"/>
      <c r="C197" s="17"/>
      <c r="D197" s="17"/>
      <c r="E197" s="17"/>
      <c r="F197" s="17"/>
      <c r="G197" s="17"/>
      <c r="H197" s="19"/>
      <c r="I197" s="15"/>
      <c r="J197" s="15"/>
      <c r="K197" s="15"/>
      <c r="L197" s="15"/>
      <c r="M197" s="17"/>
      <c r="N197" s="17"/>
      <c r="O197" s="17"/>
    </row>
    <row r="198" spans="1:15">
      <c r="A198" s="17"/>
      <c r="B198" s="17"/>
      <c r="C198" s="17"/>
      <c r="D198" s="17"/>
      <c r="E198" s="17"/>
      <c r="F198" s="17"/>
      <c r="G198" s="17"/>
      <c r="H198" s="19"/>
      <c r="I198" s="15"/>
      <c r="J198" s="15"/>
      <c r="K198" s="15"/>
      <c r="L198" s="15"/>
      <c r="M198" s="17"/>
      <c r="N198" s="17"/>
      <c r="O198" s="17"/>
    </row>
    <row r="199" spans="1:15">
      <c r="A199" s="17"/>
      <c r="B199" s="17"/>
      <c r="C199" s="17"/>
      <c r="D199" s="17"/>
      <c r="E199" s="17"/>
      <c r="F199" s="17"/>
      <c r="G199" s="17"/>
      <c r="H199" s="19"/>
      <c r="I199" s="15"/>
      <c r="J199" s="15"/>
      <c r="K199" s="15"/>
      <c r="L199" s="15"/>
      <c r="M199" s="17"/>
      <c r="N199" s="17"/>
      <c r="O199" s="17"/>
    </row>
    <row r="200" spans="1:15">
      <c r="A200" s="17"/>
      <c r="B200" s="17"/>
      <c r="C200" s="17"/>
      <c r="D200" s="17"/>
      <c r="E200" s="17"/>
      <c r="F200" s="17"/>
      <c r="G200" s="17"/>
      <c r="H200" s="19"/>
      <c r="I200" s="15"/>
      <c r="J200" s="15"/>
      <c r="K200" s="15"/>
      <c r="L200" s="15"/>
      <c r="M200" s="17"/>
      <c r="N200" s="17"/>
      <c r="O200" s="17"/>
    </row>
    <row r="201" spans="1:15">
      <c r="A201" s="17"/>
      <c r="B201" s="17"/>
      <c r="C201" s="17"/>
      <c r="D201" s="17"/>
      <c r="E201" s="17"/>
      <c r="F201" s="17"/>
      <c r="G201" s="17"/>
      <c r="H201" s="19"/>
      <c r="I201" s="15"/>
      <c r="J201" s="15"/>
      <c r="K201" s="15"/>
      <c r="L201" s="15"/>
      <c r="M201" s="17"/>
      <c r="N201" s="17"/>
      <c r="O201" s="17"/>
    </row>
    <row r="202" spans="1:15">
      <c r="A202" s="17"/>
      <c r="B202" s="17"/>
      <c r="C202" s="17"/>
      <c r="D202" s="17"/>
      <c r="E202" s="17"/>
      <c r="F202" s="17"/>
      <c r="G202" s="17"/>
      <c r="H202" s="19"/>
      <c r="I202" s="15"/>
      <c r="J202" s="15"/>
      <c r="K202" s="15"/>
      <c r="L202" s="15"/>
      <c r="M202" s="17"/>
      <c r="N202" s="17"/>
      <c r="O202" s="17"/>
    </row>
    <row r="203" spans="1:15">
      <c r="A203" s="17"/>
      <c r="B203" s="17"/>
      <c r="C203" s="17"/>
      <c r="D203" s="17"/>
      <c r="E203" s="17"/>
      <c r="F203" s="17"/>
      <c r="G203" s="17"/>
      <c r="H203" s="19"/>
      <c r="I203" s="15"/>
      <c r="J203" s="15"/>
      <c r="K203" s="15"/>
      <c r="L203" s="15"/>
      <c r="M203" s="17"/>
      <c r="N203" s="17"/>
      <c r="O203" s="17"/>
    </row>
    <row r="204" spans="1:15">
      <c r="A204" s="17"/>
      <c r="B204" s="17"/>
      <c r="C204" s="17"/>
      <c r="D204" s="17"/>
      <c r="E204" s="17"/>
      <c r="F204" s="17"/>
      <c r="G204" s="17"/>
      <c r="H204" s="19"/>
      <c r="I204" s="15"/>
      <c r="J204" s="15"/>
      <c r="K204" s="15"/>
      <c r="L204" s="15"/>
      <c r="M204" s="17"/>
      <c r="N204" s="17"/>
      <c r="O204" s="17"/>
    </row>
    <row r="205" spans="1:15">
      <c r="A205" s="17"/>
      <c r="B205" s="17"/>
      <c r="C205" s="17"/>
      <c r="D205" s="17"/>
      <c r="E205" s="17"/>
      <c r="F205" s="17"/>
      <c r="G205" s="17"/>
      <c r="H205" s="19"/>
      <c r="I205" s="15"/>
      <c r="J205" s="15"/>
      <c r="K205" s="15"/>
      <c r="L205" s="15"/>
      <c r="M205" s="17"/>
      <c r="N205" s="17"/>
      <c r="O205" s="17"/>
    </row>
    <row r="206" spans="1:15">
      <c r="A206" s="17"/>
      <c r="B206" s="17"/>
      <c r="C206" s="17"/>
      <c r="D206" s="17"/>
      <c r="E206" s="17"/>
      <c r="F206" s="17"/>
      <c r="G206" s="17"/>
      <c r="H206" s="19"/>
      <c r="I206" s="15"/>
      <c r="J206" s="15"/>
      <c r="K206" s="15"/>
      <c r="L206" s="15"/>
      <c r="M206" s="17"/>
      <c r="N206" s="17"/>
      <c r="O206" s="17"/>
    </row>
    <row r="207" spans="1:15">
      <c r="A207" s="17"/>
      <c r="B207" s="17"/>
      <c r="C207" s="17"/>
      <c r="D207" s="17"/>
      <c r="E207" s="17"/>
      <c r="F207" s="17"/>
      <c r="G207" s="17"/>
      <c r="H207" s="19"/>
      <c r="I207" s="15"/>
      <c r="J207" s="15"/>
      <c r="K207" s="15"/>
      <c r="L207" s="15"/>
      <c r="M207" s="17"/>
      <c r="N207" s="17"/>
      <c r="O207" s="17"/>
    </row>
    <row r="208" spans="1:15">
      <c r="A208" s="17"/>
      <c r="B208" s="17"/>
      <c r="C208" s="17"/>
      <c r="D208" s="17"/>
      <c r="E208" s="17"/>
      <c r="F208" s="17"/>
      <c r="G208" s="17"/>
      <c r="H208" s="19"/>
      <c r="I208" s="15"/>
      <c r="J208" s="15"/>
      <c r="K208" s="15"/>
      <c r="L208" s="15"/>
      <c r="M208" s="17"/>
      <c r="N208" s="17"/>
      <c r="O208" s="17"/>
    </row>
    <row r="209" spans="1:15">
      <c r="A209" s="17"/>
      <c r="B209" s="17"/>
      <c r="C209" s="17"/>
      <c r="D209" s="17"/>
      <c r="E209" s="17"/>
      <c r="F209" s="17"/>
      <c r="G209" s="17"/>
      <c r="H209" s="19"/>
      <c r="I209" s="15"/>
      <c r="J209" s="15"/>
      <c r="K209" s="15"/>
      <c r="L209" s="15"/>
      <c r="M209" s="17"/>
      <c r="N209" s="17"/>
      <c r="O209" s="17"/>
    </row>
    <row r="210" spans="1:15">
      <c r="A210" s="17"/>
      <c r="B210" s="17"/>
      <c r="C210" s="17"/>
      <c r="D210" s="17"/>
      <c r="E210" s="17"/>
      <c r="F210" s="17"/>
      <c r="G210" s="17"/>
      <c r="H210" s="19"/>
      <c r="I210" s="15"/>
      <c r="J210" s="15"/>
      <c r="K210" s="15"/>
      <c r="L210" s="15"/>
      <c r="M210" s="17"/>
      <c r="N210" s="17"/>
      <c r="O210" s="17"/>
    </row>
    <row r="211" spans="1:15">
      <c r="A211" s="17"/>
      <c r="B211" s="17"/>
      <c r="C211" s="17"/>
      <c r="D211" s="17"/>
      <c r="E211" s="17"/>
      <c r="F211" s="17"/>
      <c r="G211" s="17"/>
      <c r="H211" s="19"/>
      <c r="I211" s="15"/>
      <c r="J211" s="15"/>
      <c r="K211" s="15"/>
      <c r="L211" s="15"/>
      <c r="M211" s="17"/>
      <c r="N211" s="17"/>
      <c r="O211" s="17"/>
    </row>
    <row r="212" spans="1:15">
      <c r="A212" s="17"/>
      <c r="B212" s="17"/>
      <c r="C212" s="17"/>
      <c r="D212" s="17"/>
      <c r="E212" s="17"/>
      <c r="F212" s="17"/>
      <c r="G212" s="17"/>
      <c r="H212" s="19"/>
      <c r="I212" s="15"/>
      <c r="J212" s="15"/>
      <c r="K212" s="15"/>
      <c r="L212" s="15"/>
      <c r="M212" s="17"/>
      <c r="N212" s="17"/>
      <c r="O212" s="17"/>
    </row>
    <row r="213" spans="1:15">
      <c r="A213" s="17"/>
      <c r="B213" s="17"/>
      <c r="C213" s="17"/>
      <c r="D213" s="17"/>
      <c r="E213" s="17"/>
      <c r="F213" s="17"/>
      <c r="G213" s="17"/>
      <c r="H213" s="19"/>
      <c r="I213" s="15"/>
      <c r="J213" s="15"/>
      <c r="K213" s="15"/>
      <c r="L213" s="15"/>
      <c r="M213" s="17"/>
      <c r="N213" s="17"/>
      <c r="O213" s="17"/>
    </row>
    <row r="214" spans="1:15">
      <c r="A214" s="17"/>
      <c r="B214" s="17"/>
      <c r="C214" s="17"/>
      <c r="D214" s="17"/>
      <c r="E214" s="17"/>
      <c r="F214" s="17"/>
      <c r="G214" s="17"/>
      <c r="H214" s="19"/>
      <c r="I214" s="15"/>
      <c r="J214" s="15"/>
      <c r="K214" s="15"/>
      <c r="L214" s="15"/>
      <c r="M214" s="17"/>
      <c r="N214" s="17"/>
      <c r="O214" s="17"/>
    </row>
    <row r="215" spans="1:15">
      <c r="A215" s="17"/>
      <c r="B215" s="17"/>
      <c r="C215" s="17"/>
      <c r="D215" s="17"/>
      <c r="E215" s="17"/>
      <c r="F215" s="17"/>
      <c r="G215" s="17"/>
      <c r="H215" s="19"/>
      <c r="I215" s="15"/>
      <c r="J215" s="15"/>
      <c r="K215" s="15"/>
      <c r="L215" s="15"/>
      <c r="M215" s="17"/>
      <c r="N215" s="17"/>
      <c r="O215" s="17"/>
    </row>
  </sheetData>
  <sheetProtection password="C643" sheet="1" objects="1" scenarios="1" selectLockedCells="1" autoFilter="0" selectUnlockedCells="1"/>
  <sortState ref="A2:Q215">
    <sortCondition ref="A2:A3"/>
  </sortState>
  <dataValidations count="1">
    <dataValidation type="list" allowBlank="1" showInputMessage="1" showErrorMessage="1" sqref="I31">
      <formula1>[1]Igények!$AH$200:$AH$201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Munka3"/>
  <dimension ref="A1:AJ221"/>
  <sheetViews>
    <sheetView tabSelected="1" topLeftCell="M1" zoomScale="70" zoomScaleNormal="70" workbookViewId="0">
      <selection activeCell="R139" sqref="R139"/>
    </sheetView>
  </sheetViews>
  <sheetFormatPr defaultColWidth="9.109375" defaultRowHeight="24.9" customHeight="1"/>
  <cols>
    <col min="1" max="1" width="18" style="4" customWidth="1"/>
    <col min="2" max="2" width="20.33203125" style="3" customWidth="1"/>
    <col min="3" max="3" width="12.33203125" style="3" customWidth="1"/>
    <col min="4" max="4" width="37.88671875" style="3" customWidth="1"/>
    <col min="5" max="5" width="33.109375" style="3" customWidth="1"/>
    <col min="6" max="6" width="25.6640625" style="5" customWidth="1"/>
    <col min="7" max="7" width="23.44140625" style="3" customWidth="1"/>
    <col min="8" max="8" width="24.5546875" style="3" customWidth="1"/>
    <col min="9" max="9" width="36.109375" style="3" customWidth="1"/>
    <col min="10" max="10" width="31.5546875" style="3" customWidth="1"/>
    <col min="11" max="11" width="43" style="3" customWidth="1"/>
    <col min="12" max="12" width="42" style="3" customWidth="1"/>
    <col min="13" max="13" width="42.6640625" style="3" customWidth="1"/>
    <col min="14" max="17" width="9.109375" style="3" customWidth="1"/>
    <col min="18" max="18" width="9.109375" style="28" customWidth="1"/>
    <col min="19" max="20" width="9.109375" style="3" customWidth="1"/>
    <col min="21" max="21" width="20.33203125" style="3" customWidth="1"/>
    <col min="22" max="22" width="17.33203125" style="3" customWidth="1"/>
    <col min="23" max="23" width="9.109375" style="3" customWidth="1"/>
    <col min="24" max="24" width="15.44140625" style="3" customWidth="1"/>
    <col min="25" max="25" width="9.109375" style="3" customWidth="1"/>
    <col min="26" max="26" width="14" style="4" customWidth="1"/>
    <col min="27" max="28" width="9.109375" style="3" customWidth="1"/>
    <col min="29" max="29" width="8.33203125" style="3" customWidth="1"/>
    <col min="30" max="32" width="9.109375" style="3" customWidth="1"/>
    <col min="33" max="33" width="14.33203125" style="3" customWidth="1"/>
    <col min="34" max="34" width="23.5546875" style="3" customWidth="1"/>
    <col min="35" max="35" width="9.109375" style="3" customWidth="1"/>
    <col min="36" max="36" width="18.109375" style="3" customWidth="1"/>
    <col min="37" max="16384" width="9.109375" style="3"/>
  </cols>
  <sheetData>
    <row r="1" spans="1:36" s="1" customFormat="1" ht="30.75" customHeight="1" thickTop="1" thickBot="1">
      <c r="A1" s="30" t="s">
        <v>0</v>
      </c>
      <c r="B1" s="31" t="s">
        <v>1</v>
      </c>
      <c r="C1" s="31" t="s">
        <v>16</v>
      </c>
      <c r="D1" s="31" t="s">
        <v>37</v>
      </c>
      <c r="E1" s="31" t="s">
        <v>2</v>
      </c>
      <c r="F1" s="31" t="s">
        <v>3</v>
      </c>
      <c r="G1" s="32" t="s">
        <v>28</v>
      </c>
      <c r="H1" s="33" t="s">
        <v>4</v>
      </c>
      <c r="I1" s="31" t="s">
        <v>29</v>
      </c>
      <c r="J1" s="31" t="s">
        <v>5</v>
      </c>
      <c r="K1" s="34" t="s">
        <v>6</v>
      </c>
      <c r="L1" s="35" t="s">
        <v>162</v>
      </c>
      <c r="Q1" s="1">
        <v>3</v>
      </c>
      <c r="R1" s="27">
        <v>6</v>
      </c>
      <c r="U1" s="1" t="s">
        <v>12</v>
      </c>
      <c r="V1" s="1" t="s">
        <v>3</v>
      </c>
      <c r="W1" s="1" t="s">
        <v>16</v>
      </c>
      <c r="X1" s="1" t="s">
        <v>17</v>
      </c>
      <c r="Y1" s="1" t="s">
        <v>16</v>
      </c>
      <c r="Z1" s="2" t="s">
        <v>30</v>
      </c>
      <c r="AA1" s="1" t="s">
        <v>14</v>
      </c>
      <c r="AB1" s="1" t="s">
        <v>15</v>
      </c>
      <c r="AC1" s="3" t="s">
        <v>24</v>
      </c>
      <c r="AD1" s="3" t="s">
        <v>25</v>
      </c>
      <c r="AE1" s="3"/>
      <c r="AF1" s="3"/>
      <c r="AG1" s="1" t="s">
        <v>31</v>
      </c>
      <c r="AH1" s="1" t="s">
        <v>34</v>
      </c>
      <c r="AI1" s="1" t="s">
        <v>16</v>
      </c>
      <c r="AJ1" s="1" t="s">
        <v>4</v>
      </c>
    </row>
    <row r="2" spans="1:36" ht="24.9" customHeight="1" thickTop="1">
      <c r="A2" s="36" t="s">
        <v>163</v>
      </c>
      <c r="B2" s="37" t="s">
        <v>22</v>
      </c>
      <c r="C2" s="37" t="s">
        <v>40</v>
      </c>
      <c r="D2" s="37" t="s">
        <v>164</v>
      </c>
      <c r="E2" s="37" t="s">
        <v>45</v>
      </c>
      <c r="F2" s="37" t="s">
        <v>7</v>
      </c>
      <c r="G2" s="38" t="s">
        <v>32</v>
      </c>
      <c r="H2" s="38" t="s">
        <v>43</v>
      </c>
      <c r="I2" s="38"/>
      <c r="J2" s="38" t="s">
        <v>165</v>
      </c>
      <c r="K2" s="38">
        <v>197021</v>
      </c>
      <c r="L2" s="38"/>
      <c r="M2" s="28"/>
      <c r="Q2" s="3">
        <v>9</v>
      </c>
      <c r="R2" s="28">
        <v>3</v>
      </c>
      <c r="S2" s="3">
        <v>50</v>
      </c>
      <c r="T2" s="3">
        <v>31</v>
      </c>
      <c r="U2" s="3" t="str">
        <f>IF(adatok!A2="","",adatok!A2)</f>
        <v>06:00-18:00</v>
      </c>
      <c r="V2" s="3" t="str">
        <f>IF(adatok!B2="","",adatok!B2)</f>
        <v>Szabadság</v>
      </c>
      <c r="W2" s="3" t="str">
        <f>IF(adatok!E2="","",adatok!E2)</f>
        <v>D4</v>
      </c>
      <c r="X2" s="3" t="str">
        <f>IF(adatok!F2="","",adatok!F2)</f>
        <v>Sorvezető</v>
      </c>
      <c r="Y2" s="3" t="str">
        <f>IF(adatok!G2="","",adatok!G2)</f>
        <v>D4</v>
      </c>
      <c r="Z2" s="4">
        <f>IF(adatok!H2="","",adatok!H2)</f>
        <v>42217</v>
      </c>
      <c r="AA2" s="3">
        <f>IF(adatok!C2="","",adatok!C2)</f>
        <v>50</v>
      </c>
      <c r="AB2" s="3">
        <f>IF(adatok!D2="","",adatok!D2)</f>
        <v>1</v>
      </c>
      <c r="AC2" s="3" t="str">
        <f>IF(adatok!I2="","",adatok!I2)</f>
        <v>A</v>
      </c>
      <c r="AD2" s="3" t="str">
        <f>IF(adatok!J2="","",adatok!J2)</f>
        <v>B</v>
      </c>
      <c r="AE2" s="3" t="str">
        <f>IF(adatok!K2="","",adatok!K2)</f>
        <v>C</v>
      </c>
      <c r="AF2" s="3" t="str">
        <f>IF(adatok!L2="","",adatok!L2)</f>
        <v>D</v>
      </c>
      <c r="AG2" s="3" t="s">
        <v>32</v>
      </c>
      <c r="AH2" s="3" t="str">
        <f>IF(adatok!M2="","",adatok!M2)</f>
        <v>Kupecz Olivér</v>
      </c>
      <c r="AI2" s="3" t="str">
        <f>IF(adatok!N2="","",adatok!N2)</f>
        <v>D4</v>
      </c>
      <c r="AJ2" s="3" t="str">
        <f>IF(adatok!O2="","",adatok!O2)</f>
        <v>A</v>
      </c>
    </row>
    <row r="3" spans="1:36" ht="24.9" customHeight="1">
      <c r="A3" s="39" t="s">
        <v>163</v>
      </c>
      <c r="B3" s="40" t="s">
        <v>22</v>
      </c>
      <c r="C3" s="40" t="s">
        <v>40</v>
      </c>
      <c r="D3" s="40" t="s">
        <v>20</v>
      </c>
      <c r="E3" s="40" t="s">
        <v>55</v>
      </c>
      <c r="F3" s="40" t="s">
        <v>7</v>
      </c>
      <c r="G3" s="41" t="s">
        <v>32</v>
      </c>
      <c r="H3" s="41" t="s">
        <v>43</v>
      </c>
      <c r="I3" s="41" t="s">
        <v>88</v>
      </c>
      <c r="J3" s="41" t="s">
        <v>166</v>
      </c>
      <c r="K3" s="41">
        <v>197021</v>
      </c>
      <c r="L3" s="41"/>
      <c r="S3" s="3">
        <v>50</v>
      </c>
      <c r="T3" s="3">
        <v>31</v>
      </c>
      <c r="U3" s="3" t="str">
        <f>IF(adatok!A3="","",adatok!A3)</f>
        <v>18:00-06:00</v>
      </c>
      <c r="V3" s="3" t="str">
        <f>IF(adatok!B3="","",adatok!B3)</f>
        <v>Oktatás</v>
      </c>
      <c r="W3" s="3" t="str">
        <f>IF(adatok!E3="","",adatok!E3)</f>
        <v>F4</v>
      </c>
      <c r="X3" s="3" t="str">
        <f>IF(adatok!F3="","",adatok!F3)</f>
        <v>Szétszerelő</v>
      </c>
      <c r="Y3" s="3" t="str">
        <f>IF(adatok!G3="","",adatok!G3)</f>
        <v>D4</v>
      </c>
      <c r="Z3" s="4">
        <f>IF(adatok!H3="","",adatok!H3)</f>
        <v>42218</v>
      </c>
      <c r="AA3" s="3">
        <f>IF(adatok!C3="","",adatok!C3)</f>
        <v>50</v>
      </c>
      <c r="AB3" s="3">
        <f>IF(adatok!D3="","",adatok!D3)</f>
        <v>3</v>
      </c>
      <c r="AC3" s="3" t="str">
        <f>IF(adatok!I3="","",adatok!I3)</f>
        <v xml:space="preserve">C </v>
      </c>
      <c r="AD3" s="3" t="str">
        <f>IF(adatok!J3="","",adatok!J3)</f>
        <v>D</v>
      </c>
      <c r="AE3" s="3" t="str">
        <f>IF(adatok!K3="","",adatok!K3)</f>
        <v>A</v>
      </c>
      <c r="AF3" s="3" t="str">
        <f>IF(adatok!L3="","",adatok!L3)</f>
        <v>B</v>
      </c>
      <c r="AG3" s="3" t="s">
        <v>33</v>
      </c>
      <c r="AH3" s="3" t="str">
        <f>IF(adatok!M3="","",adatok!M3)</f>
        <v>Fejes László</v>
      </c>
      <c r="AI3" s="3" t="str">
        <f>IF(adatok!N3="","",adatok!N3)</f>
        <v>D4</v>
      </c>
      <c r="AJ3" s="3" t="str">
        <f>IF(adatok!O3="","",adatok!O3)</f>
        <v>A</v>
      </c>
    </row>
    <row r="4" spans="1:36" ht="24.9" customHeight="1">
      <c r="A4" s="39" t="s">
        <v>163</v>
      </c>
      <c r="B4" s="40" t="s">
        <v>22</v>
      </c>
      <c r="C4" s="40" t="s">
        <v>40</v>
      </c>
      <c r="D4" s="40" t="s">
        <v>20</v>
      </c>
      <c r="E4" s="40" t="s">
        <v>59</v>
      </c>
      <c r="F4" s="40" t="s">
        <v>11</v>
      </c>
      <c r="G4" s="41" t="s">
        <v>32</v>
      </c>
      <c r="H4" s="41" t="s">
        <v>43</v>
      </c>
      <c r="I4" s="41" t="s">
        <v>97</v>
      </c>
      <c r="J4" s="41" t="s">
        <v>167</v>
      </c>
      <c r="K4" s="41">
        <v>197021</v>
      </c>
      <c r="L4" s="41"/>
      <c r="S4" s="3">
        <v>50</v>
      </c>
      <c r="T4" s="3">
        <v>31</v>
      </c>
      <c r="V4" s="3" t="str">
        <f>IF(adatok!B4="","",adatok!B4)</f>
        <v>Extra</v>
      </c>
      <c r="W4" s="3" t="str">
        <f>IF(adatok!E4="","",adatok!E4)</f>
        <v/>
      </c>
      <c r="X4" s="3" t="str">
        <f>IF(adatok!F4="","",adatok!F4)</f>
        <v>Alátétező</v>
      </c>
      <c r="Y4" s="3" t="str">
        <f>IF(adatok!G4="","",adatok!G4)</f>
        <v>D4</v>
      </c>
      <c r="Z4" s="4">
        <f>IF(adatok!H4="","",adatok!H4)</f>
        <v>42219</v>
      </c>
      <c r="AA4" s="3">
        <f>IF(adatok!C4="","",adatok!C4)</f>
        <v>50</v>
      </c>
      <c r="AB4" s="3">
        <f>IF(adatok!D4="","",adatok!D4)</f>
        <v>4</v>
      </c>
      <c r="AC4" s="3" t="str">
        <f>IF(adatok!I4="","",adatok!I4)</f>
        <v>C</v>
      </c>
      <c r="AD4" s="3" t="str">
        <f>IF(adatok!J4="","",adatok!J4)</f>
        <v>D</v>
      </c>
      <c r="AE4" s="3" t="str">
        <f>IF(adatok!K4="","",adatok!K4)</f>
        <v>A</v>
      </c>
      <c r="AF4" s="3" t="str">
        <f>IF(adatok!L4="","",adatok!L4)</f>
        <v>B</v>
      </c>
      <c r="AH4" s="3" t="str">
        <f>IF(adatok!M4="","",adatok!M4)</f>
        <v>Birtalan Szandra</v>
      </c>
      <c r="AI4" s="3" t="str">
        <f>IF(adatok!N4="","",adatok!N4)</f>
        <v>D4</v>
      </c>
      <c r="AJ4" s="3" t="str">
        <f>IF(adatok!O4="","",adatok!O4)</f>
        <v>A</v>
      </c>
    </row>
    <row r="5" spans="1:36" ht="24.9" customHeight="1">
      <c r="A5" s="39" t="s">
        <v>163</v>
      </c>
      <c r="B5" s="40" t="s">
        <v>22</v>
      </c>
      <c r="C5" s="40" t="s">
        <v>41</v>
      </c>
      <c r="D5" s="40" t="s">
        <v>20</v>
      </c>
      <c r="E5" s="40" t="s">
        <v>123</v>
      </c>
      <c r="F5" s="40" t="s">
        <v>7</v>
      </c>
      <c r="G5" s="41" t="s">
        <v>32</v>
      </c>
      <c r="H5" s="41" t="s">
        <v>43</v>
      </c>
      <c r="I5" s="41" t="s">
        <v>143</v>
      </c>
      <c r="J5" s="41" t="s">
        <v>168</v>
      </c>
      <c r="K5" s="41">
        <v>197021</v>
      </c>
      <c r="L5" s="41"/>
      <c r="Q5" s="3">
        <v>9</v>
      </c>
      <c r="R5" s="28">
        <v>10</v>
      </c>
      <c r="S5" s="3">
        <v>50</v>
      </c>
      <c r="T5" s="3">
        <v>31</v>
      </c>
      <c r="V5" s="3" t="str">
        <f>IF(adatok!B5="","",adatok!B5)</f>
        <v>Betegség</v>
      </c>
      <c r="W5" s="3" t="str">
        <f>IF(adatok!E5="","",adatok!E5)</f>
        <v/>
      </c>
      <c r="X5" s="3" t="str">
        <f>IF(adatok!F5="","",adatok!F5)</f>
        <v>Teszt,cimkézés</v>
      </c>
      <c r="Y5" s="3" t="str">
        <f>IF(adatok!G5="","",adatok!G5)</f>
        <v>D4</v>
      </c>
      <c r="Z5" s="4">
        <f>IF(adatok!H5="","",adatok!H5)</f>
        <v>42220</v>
      </c>
      <c r="AA5" s="3">
        <f>IF(adatok!C5="","",adatok!C5)</f>
        <v>50</v>
      </c>
      <c r="AB5" s="3">
        <f>IF(adatok!D5="","",adatok!D5)</f>
        <v>2</v>
      </c>
      <c r="AC5" s="3" t="str">
        <f>IF(adatok!I5="","",adatok!I5)</f>
        <v>B</v>
      </c>
      <c r="AD5" s="3" t="str">
        <f>IF(adatok!J5="","",adatok!J5)</f>
        <v>A</v>
      </c>
      <c r="AE5" s="3" t="str">
        <f>IF(adatok!K5="","",adatok!K5)</f>
        <v>C</v>
      </c>
      <c r="AF5" s="3" t="str">
        <f>IF(adatok!L5="","",adatok!L5)</f>
        <v>D</v>
      </c>
      <c r="AH5" s="3" t="str">
        <f>IF(adatok!M5="","",adatok!M5)</f>
        <v>Csobádi Anita</v>
      </c>
      <c r="AI5" s="3" t="str">
        <f>IF(adatok!N5="","",adatok!N5)</f>
        <v>D4</v>
      </c>
      <c r="AJ5" s="3" t="str">
        <f>IF(adatok!O5="","",adatok!O5)</f>
        <v>A</v>
      </c>
    </row>
    <row r="6" spans="1:36" ht="24.9" customHeight="1">
      <c r="A6" s="39" t="s">
        <v>163</v>
      </c>
      <c r="B6" s="40" t="s">
        <v>23</v>
      </c>
      <c r="C6" s="40" t="s">
        <v>40</v>
      </c>
      <c r="D6" s="40" t="s">
        <v>20</v>
      </c>
      <c r="E6" s="40" t="s">
        <v>78</v>
      </c>
      <c r="F6" s="40" t="s">
        <v>7</v>
      </c>
      <c r="G6" s="41" t="s">
        <v>32</v>
      </c>
      <c r="H6" s="41" t="s">
        <v>26</v>
      </c>
      <c r="I6" s="41" t="s">
        <v>119</v>
      </c>
      <c r="J6" s="41" t="s">
        <v>169</v>
      </c>
      <c r="K6" s="41">
        <v>197025</v>
      </c>
      <c r="L6" s="41"/>
      <c r="Q6" s="3">
        <v>9</v>
      </c>
      <c r="R6" s="28">
        <v>4</v>
      </c>
      <c r="S6" s="3">
        <v>50</v>
      </c>
      <c r="T6" s="3">
        <v>31</v>
      </c>
      <c r="V6" s="3" t="str">
        <f>IF(adatok!B6="","",adatok!B6)</f>
        <v>Egyéni</v>
      </c>
      <c r="X6" s="3" t="str">
        <f>IF(adatok!F6="","",adatok!F6)</f>
        <v>Vizuális ell., csomagolás</v>
      </c>
      <c r="Y6" s="3" t="str">
        <f>IF(adatok!G6="","",adatok!G6)</f>
        <v>D4</v>
      </c>
      <c r="Z6" s="4">
        <f>IF(adatok!H6="","",adatok!H6)</f>
        <v>42221</v>
      </c>
      <c r="AA6" s="3">
        <f>IF(adatok!C6="","",adatok!C6)</f>
        <v>50</v>
      </c>
      <c r="AB6" s="3">
        <f>IF(adatok!D6="","",adatok!D6)</f>
        <v>5</v>
      </c>
      <c r="AC6" s="3" t="str">
        <f>IF(adatok!I6="","",adatok!I6)</f>
        <v>B</v>
      </c>
      <c r="AD6" s="3" t="str">
        <f>IF(adatok!J6="","",adatok!J6)</f>
        <v>A</v>
      </c>
      <c r="AE6" s="3" t="str">
        <f>IF(adatok!K6="","",adatok!K6)</f>
        <v>C</v>
      </c>
      <c r="AF6" s="3" t="str">
        <f>IF(adatok!L6="","",adatok!L6)</f>
        <v>D</v>
      </c>
      <c r="AH6" s="3" t="str">
        <f>IF(adatok!M6="","",adatok!M6)</f>
        <v>Laczkó Márta</v>
      </c>
      <c r="AI6" s="3" t="str">
        <f>IF(adatok!N6="","",adatok!N6)</f>
        <v>D4</v>
      </c>
      <c r="AJ6" s="3" t="str">
        <f>IF(adatok!O6="","",adatok!O6)</f>
        <v>A</v>
      </c>
    </row>
    <row r="7" spans="1:36" ht="24.9" customHeight="1">
      <c r="A7" s="39" t="s">
        <v>163</v>
      </c>
      <c r="B7" s="40" t="s">
        <v>22</v>
      </c>
      <c r="C7" s="40" t="s">
        <v>41</v>
      </c>
      <c r="D7" s="40" t="s">
        <v>20</v>
      </c>
      <c r="E7" s="40" t="s">
        <v>122</v>
      </c>
      <c r="F7" s="40" t="s">
        <v>7</v>
      </c>
      <c r="G7" s="41" t="s">
        <v>32</v>
      </c>
      <c r="H7" s="41" t="s">
        <v>43</v>
      </c>
      <c r="I7" s="41" t="s">
        <v>142</v>
      </c>
      <c r="J7" s="41" t="s">
        <v>170</v>
      </c>
      <c r="K7" s="41">
        <v>197022</v>
      </c>
      <c r="L7" s="41"/>
      <c r="S7" s="3">
        <v>50</v>
      </c>
      <c r="T7" s="3">
        <v>31</v>
      </c>
      <c r="V7" s="3" t="str">
        <f>IF(adatok!B7="","",adatok!B7)</f>
        <v>Létszámpótlás</v>
      </c>
      <c r="X7" s="3" t="str">
        <f>IF(adatok!F7="","",adatok!F7)</f>
        <v>Szerelő</v>
      </c>
      <c r="Y7" s="3" t="str">
        <f>IF(adatok!G7="","",adatok!G7)</f>
        <v>D4</v>
      </c>
      <c r="Z7" s="4">
        <f>IF(adatok!H7="","",adatok!H7)</f>
        <v>42222</v>
      </c>
      <c r="AA7" s="3">
        <f>IF(adatok!C7="","",adatok!C7)</f>
        <v>50</v>
      </c>
      <c r="AB7" s="3">
        <f>IF(adatok!D7="","",adatok!D7)</f>
        <v>6</v>
      </c>
      <c r="AC7" s="3" t="str">
        <f>IF(adatok!I7="","",adatok!I7)</f>
        <v>D</v>
      </c>
      <c r="AD7" s="11" t="str">
        <f>IF(adatok!J7="","",adatok!J7)</f>
        <v>C</v>
      </c>
      <c r="AE7" s="3" t="str">
        <f>IF(adatok!K7="","",adatok!K7)</f>
        <v>A</v>
      </c>
      <c r="AF7" s="3" t="str">
        <f>IF(adatok!L7="","",adatok!L7)</f>
        <v>B</v>
      </c>
      <c r="AH7" s="3" t="str">
        <f>IF(adatok!M7="","",adatok!M7)</f>
        <v>Juhász Józsefné</v>
      </c>
      <c r="AI7" s="3" t="str">
        <f>IF(adatok!N7="","",adatok!N7)</f>
        <v>D4</v>
      </c>
      <c r="AJ7" s="3" t="str">
        <f>IF(adatok!O7="","",adatok!O7)</f>
        <v>A</v>
      </c>
    </row>
    <row r="8" spans="1:36" ht="24.9" customHeight="1">
      <c r="A8" s="39" t="s">
        <v>163</v>
      </c>
      <c r="B8" s="40" t="s">
        <v>23</v>
      </c>
      <c r="C8" s="40" t="s">
        <v>40</v>
      </c>
      <c r="D8" s="40" t="s">
        <v>20</v>
      </c>
      <c r="E8" s="40" t="s">
        <v>75</v>
      </c>
      <c r="F8" s="40" t="s">
        <v>11</v>
      </c>
      <c r="G8" s="41" t="s">
        <v>32</v>
      </c>
      <c r="H8" s="41" t="s">
        <v>26</v>
      </c>
      <c r="I8" s="41" t="s">
        <v>114</v>
      </c>
      <c r="J8" s="41" t="s">
        <v>171</v>
      </c>
      <c r="K8" s="41">
        <v>197024</v>
      </c>
      <c r="L8" s="41"/>
      <c r="S8" s="3">
        <v>50</v>
      </c>
      <c r="T8" s="3">
        <v>31</v>
      </c>
      <c r="X8" s="3" t="str">
        <f>IF(adatok!F8="","",adatok!F8)</f>
        <v>Pólusház szerelő</v>
      </c>
      <c r="Y8" s="3" t="str">
        <f>IF(adatok!G8="","",adatok!G8)</f>
        <v>D4</v>
      </c>
      <c r="Z8" s="4">
        <f>IF(adatok!H8="","",adatok!H8)</f>
        <v>42223</v>
      </c>
      <c r="AA8" s="3">
        <f>IF(adatok!C8="","",adatok!C8)</f>
        <v>50</v>
      </c>
      <c r="AB8" s="3">
        <f>IF(adatok!D8="","",adatok!D8)</f>
        <v>7</v>
      </c>
      <c r="AC8" s="11" t="str">
        <f>IF(adatok!I8="","",adatok!I8)</f>
        <v>D</v>
      </c>
      <c r="AD8" s="3" t="str">
        <f>IF(adatok!J8="","",adatok!J8)</f>
        <v>C</v>
      </c>
      <c r="AE8" s="3" t="str">
        <f>IF(adatok!K8="","",adatok!K8)</f>
        <v>A</v>
      </c>
      <c r="AF8" s="3" t="str">
        <f>IF(adatok!L8="","",adatok!L8)</f>
        <v>B</v>
      </c>
      <c r="AH8" s="3" t="str">
        <f>IF(adatok!M8="","",adatok!M8)</f>
        <v>Brezovszky István</v>
      </c>
      <c r="AI8" s="3" t="str">
        <f>IF(adatok!N8="","",adatok!N8)</f>
        <v>D4</v>
      </c>
      <c r="AJ8" s="3" t="str">
        <f>IF(adatok!O8="","",adatok!O8)</f>
        <v>A</v>
      </c>
    </row>
    <row r="9" spans="1:36" ht="24.9" customHeight="1">
      <c r="A9" s="39" t="s">
        <v>172</v>
      </c>
      <c r="B9" s="40" t="s">
        <v>23</v>
      </c>
      <c r="C9" s="40" t="s">
        <v>41</v>
      </c>
      <c r="D9" s="40" t="s">
        <v>20</v>
      </c>
      <c r="E9" s="40" t="s">
        <v>173</v>
      </c>
      <c r="F9" s="40" t="s">
        <v>7</v>
      </c>
      <c r="G9" s="41" t="s">
        <v>32</v>
      </c>
      <c r="H9" s="41" t="s">
        <v>25</v>
      </c>
      <c r="I9" s="41" t="s">
        <v>131</v>
      </c>
      <c r="J9" s="41" t="s">
        <v>174</v>
      </c>
      <c r="K9" s="41">
        <v>197029</v>
      </c>
      <c r="L9" s="41"/>
      <c r="S9" s="3">
        <v>50</v>
      </c>
      <c r="T9" s="3">
        <v>31</v>
      </c>
      <c r="X9" s="3" t="str">
        <f>IF(adatok!F9="","",adatok!F9)</f>
        <v>Anyagelőkészítő</v>
      </c>
      <c r="Y9" s="3" t="str">
        <f>IF(adatok!G9="","",adatok!G9)</f>
        <v>D4</v>
      </c>
      <c r="Z9" s="4">
        <f>IF(adatok!H9="","",adatok!H9)</f>
        <v>42224</v>
      </c>
      <c r="AA9" s="3">
        <f>IF(adatok!C9="","",adatok!C9)</f>
        <v>50</v>
      </c>
      <c r="AB9" s="3">
        <f>IF(adatok!D9="","",adatok!D9)</f>
        <v>8</v>
      </c>
      <c r="AC9" s="3" t="str">
        <f>IF(adatok!I9="","",adatok!I9)</f>
        <v>A</v>
      </c>
      <c r="AD9" s="3" t="str">
        <f>IF(adatok!J9="","",adatok!J9)</f>
        <v>B</v>
      </c>
      <c r="AE9" s="3" t="str">
        <f>IF(adatok!K9="","",adatok!K9)</f>
        <v>C</v>
      </c>
      <c r="AF9" s="3" t="str">
        <f>IF(adatok!L9="","",adatok!L9)</f>
        <v>D</v>
      </c>
      <c r="AH9" s="3" t="str">
        <f>IF(adatok!M9="","",adatok!M9)</f>
        <v>Kasaróczki Béla</v>
      </c>
      <c r="AI9" s="3" t="str">
        <f>IF(adatok!N9="","",adatok!N9)</f>
        <v>D4</v>
      </c>
      <c r="AJ9" s="3" t="str">
        <f>IF(adatok!O9="","",adatok!O9)</f>
        <v>A</v>
      </c>
    </row>
    <row r="10" spans="1:36" ht="24.9" customHeight="1">
      <c r="A10" s="39" t="s">
        <v>172</v>
      </c>
      <c r="B10" s="40" t="s">
        <v>22</v>
      </c>
      <c r="C10" s="40" t="s">
        <v>40</v>
      </c>
      <c r="D10" s="40" t="s">
        <v>164</v>
      </c>
      <c r="E10" s="40" t="s">
        <v>175</v>
      </c>
      <c r="F10" s="40" t="s">
        <v>11</v>
      </c>
      <c r="G10" s="41" t="s">
        <v>32</v>
      </c>
      <c r="H10" s="41" t="s">
        <v>27</v>
      </c>
      <c r="I10" s="41" t="s">
        <v>57</v>
      </c>
      <c r="J10" s="41" t="s">
        <v>176</v>
      </c>
      <c r="K10" s="41">
        <v>197028</v>
      </c>
      <c r="L10" s="41"/>
      <c r="S10" s="3">
        <v>50</v>
      </c>
      <c r="T10" s="3">
        <v>31</v>
      </c>
      <c r="X10" s="3" t="str">
        <f>IF(adatok!F10="","",adatok!F10)</f>
        <v>Fogaskerekező</v>
      </c>
      <c r="Y10" s="3" t="str">
        <f>IF(adatok!G10="","",adatok!G10)</f>
        <v>D4</v>
      </c>
      <c r="Z10" s="4">
        <f>IF(adatok!H10="","",adatok!H10)</f>
        <v>42225</v>
      </c>
      <c r="AA10" s="3">
        <f>IF(adatok!C10="","",adatok!C10)</f>
        <v>50</v>
      </c>
      <c r="AB10" s="3">
        <f>IF(adatok!D10="","",adatok!D10)</f>
        <v>9</v>
      </c>
      <c r="AC10" s="3" t="str">
        <f>IF(adatok!I10="","",adatok!I10)</f>
        <v>A</v>
      </c>
      <c r="AD10" s="3" t="str">
        <f>IF(adatok!J10="","",adatok!J10)</f>
        <v>B</v>
      </c>
      <c r="AE10" s="3" t="str">
        <f>IF(adatok!K10="","",adatok!K10)</f>
        <v>C</v>
      </c>
      <c r="AF10" s="3" t="str">
        <f>IF(adatok!L10="","",adatok!L10)</f>
        <v>D</v>
      </c>
      <c r="AH10" s="3" t="str">
        <f>IF(adatok!M10="","",adatok!M10)</f>
        <v>Várallyay Szabolcs</v>
      </c>
      <c r="AI10" s="3" t="str">
        <f>IF(adatok!N10="","",adatok!N10)</f>
        <v>D4</v>
      </c>
      <c r="AJ10" s="3" t="str">
        <f>IF(adatok!O10="","",adatok!O10)</f>
        <v>A</v>
      </c>
    </row>
    <row r="11" spans="1:36" ht="24.9" customHeight="1">
      <c r="A11" s="39" t="s">
        <v>172</v>
      </c>
      <c r="B11" s="40" t="s">
        <v>22</v>
      </c>
      <c r="C11" s="40" t="s">
        <v>40</v>
      </c>
      <c r="D11" s="40" t="s">
        <v>20</v>
      </c>
      <c r="E11" s="40" t="s">
        <v>98</v>
      </c>
      <c r="F11" s="40" t="s">
        <v>7</v>
      </c>
      <c r="G11" s="41" t="s">
        <v>32</v>
      </c>
      <c r="H11" s="41" t="s">
        <v>27</v>
      </c>
      <c r="I11" s="41" t="s">
        <v>58</v>
      </c>
      <c r="J11" s="41" t="s">
        <v>177</v>
      </c>
      <c r="K11" s="41">
        <v>197028</v>
      </c>
      <c r="L11" s="41"/>
      <c r="S11" s="3">
        <v>50</v>
      </c>
      <c r="T11" s="3">
        <v>31</v>
      </c>
      <c r="X11" s="3" t="str">
        <f>IF(adatok!F11="","",adatok!F11)</f>
        <v>Relérakó</v>
      </c>
      <c r="Y11" s="3" t="str">
        <f>IF(adatok!G11="","",adatok!G11)</f>
        <v>D4</v>
      </c>
      <c r="Z11" s="4">
        <f>IF(adatok!H11="","",adatok!H11)</f>
        <v>42226</v>
      </c>
      <c r="AA11" s="3">
        <f>IF(adatok!C11="","",adatok!C11)</f>
        <v>50</v>
      </c>
      <c r="AB11" s="3">
        <f>IF(adatok!D11="","",adatok!D11)</f>
        <v>10</v>
      </c>
      <c r="AC11" s="3" t="str">
        <f>IF(adatok!I11="","",adatok!I11)</f>
        <v xml:space="preserve">C </v>
      </c>
      <c r="AD11" s="3" t="str">
        <f>IF(adatok!J11="","",adatok!J11)</f>
        <v>D</v>
      </c>
      <c r="AE11" s="3" t="str">
        <f>IF(adatok!K11="","",adatok!K11)</f>
        <v>A</v>
      </c>
      <c r="AF11" s="3" t="str">
        <f>IF(adatok!L11="","",adatok!L11)</f>
        <v>B</v>
      </c>
      <c r="AH11" s="3" t="str">
        <f>IF(adatok!M11="","",adatok!M11)</f>
        <v>Barna Zsuzsanna</v>
      </c>
      <c r="AI11" s="3" t="str">
        <f>IF(adatok!N11="","",adatok!N11)</f>
        <v>D4</v>
      </c>
      <c r="AJ11" s="3" t="str">
        <f>IF(adatok!O11="","",adatok!O11)</f>
        <v>A</v>
      </c>
    </row>
    <row r="12" spans="1:36" ht="24.9" customHeight="1">
      <c r="A12" s="39" t="s">
        <v>172</v>
      </c>
      <c r="B12" s="40" t="s">
        <v>22</v>
      </c>
      <c r="C12" s="40" t="s">
        <v>40</v>
      </c>
      <c r="D12" s="40" t="s">
        <v>19</v>
      </c>
      <c r="E12" s="40" t="s">
        <v>87</v>
      </c>
      <c r="F12" s="40" t="s">
        <v>7</v>
      </c>
      <c r="G12" s="41" t="s">
        <v>32</v>
      </c>
      <c r="H12" s="41" t="s">
        <v>27</v>
      </c>
      <c r="I12" s="41" t="s">
        <v>47</v>
      </c>
      <c r="J12" s="41" t="s">
        <v>178</v>
      </c>
      <c r="K12" s="41">
        <v>197027</v>
      </c>
      <c r="L12" s="41"/>
      <c r="S12" s="3">
        <v>50</v>
      </c>
      <c r="T12" s="3">
        <v>31</v>
      </c>
      <c r="X12" s="3" t="str">
        <f>IF(adatok!F12="","",adatok!F12)</f>
        <v>Gyűrűző</v>
      </c>
      <c r="Y12" s="3" t="str">
        <f>IF(adatok!G12="","",adatok!G12)</f>
        <v>D4</v>
      </c>
      <c r="Z12" s="4">
        <f>IF(adatok!H12="","",adatok!H12)</f>
        <v>42227</v>
      </c>
      <c r="AA12" s="3">
        <f>IF(adatok!C12="","",adatok!C12)</f>
        <v>50</v>
      </c>
      <c r="AB12" s="3">
        <f>IF(adatok!D12="","",adatok!D12)</f>
        <v>11</v>
      </c>
      <c r="AC12" s="3" t="str">
        <f>IF(adatok!I12="","",adatok!I12)</f>
        <v>C</v>
      </c>
      <c r="AD12" s="3" t="str">
        <f>IF(adatok!J12="","",adatok!J12)</f>
        <v>D</v>
      </c>
      <c r="AE12" s="3" t="str">
        <f>IF(adatok!K12="","",adatok!K12)</f>
        <v>A</v>
      </c>
      <c r="AF12" s="3" t="str">
        <f>IF(adatok!L12="","",adatok!L12)</f>
        <v>B</v>
      </c>
      <c r="AH12" s="3" t="str">
        <f>IF(adatok!M12="","",adatok!M12)</f>
        <v>Balogh Zoltánné</v>
      </c>
      <c r="AI12" s="3" t="str">
        <f>IF(adatok!N12="","",adatok!N12)</f>
        <v>D4</v>
      </c>
      <c r="AJ12" s="3" t="str">
        <f>IF(adatok!O12="","",adatok!O12)</f>
        <v>A</v>
      </c>
    </row>
    <row r="13" spans="1:36" ht="24.9" customHeight="1">
      <c r="A13" s="39" t="s">
        <v>172</v>
      </c>
      <c r="B13" s="40" t="s">
        <v>23</v>
      </c>
      <c r="C13" s="40" t="s">
        <v>40</v>
      </c>
      <c r="D13" s="40" t="s">
        <v>42</v>
      </c>
      <c r="E13" s="40" t="s">
        <v>115</v>
      </c>
      <c r="F13" s="40" t="s">
        <v>7</v>
      </c>
      <c r="G13" s="41" t="s">
        <v>32</v>
      </c>
      <c r="H13" s="41" t="s">
        <v>25</v>
      </c>
      <c r="I13" s="41" t="s">
        <v>67</v>
      </c>
      <c r="J13" s="41"/>
      <c r="K13" s="41"/>
      <c r="L13" s="41"/>
      <c r="S13" s="3">
        <v>50</v>
      </c>
      <c r="T13" s="3">
        <v>31</v>
      </c>
      <c r="X13" s="3" t="str">
        <f>IF(adatok!F13="","",adatok!F13)</f>
        <v>Keferakó</v>
      </c>
      <c r="Y13" s="3" t="str">
        <f>IF(adatok!G13="","",adatok!G13)</f>
        <v>D4</v>
      </c>
      <c r="Z13" s="4">
        <f>IF(adatok!H13="","",adatok!H13)</f>
        <v>42228</v>
      </c>
      <c r="AA13" s="3">
        <f>IF(adatok!C13="","",adatok!C13)</f>
        <v>50</v>
      </c>
      <c r="AB13" s="3">
        <f>IF(adatok!D13="","",adatok!D13)</f>
        <v>12</v>
      </c>
      <c r="AC13" s="3" t="str">
        <f>IF(adatok!I13="","",adatok!I13)</f>
        <v>B</v>
      </c>
      <c r="AD13" s="11" t="str">
        <f>IF(adatok!J13="","",adatok!J13)</f>
        <v>A</v>
      </c>
      <c r="AE13" s="3" t="str">
        <f>IF(adatok!K13="","",adatok!K13)</f>
        <v>C</v>
      </c>
      <c r="AF13" s="3" t="str">
        <f>IF(adatok!L13="","",adatok!L13)</f>
        <v>D</v>
      </c>
      <c r="AH13" s="3" t="str">
        <f>IF(adatok!M13="","",adatok!M13)</f>
        <v>Pelles Éva</v>
      </c>
      <c r="AI13" s="3" t="str">
        <f>IF(adatok!N13="","",adatok!N13)</f>
        <v>D4</v>
      </c>
      <c r="AJ13" s="3" t="str">
        <f>IF(adatok!O13="","",adatok!O13)</f>
        <v>A</v>
      </c>
    </row>
    <row r="14" spans="1:36" ht="24.9" customHeight="1">
      <c r="A14" s="39" t="s">
        <v>172</v>
      </c>
      <c r="B14" s="40" t="s">
        <v>23</v>
      </c>
      <c r="C14" s="40" t="s">
        <v>40</v>
      </c>
      <c r="D14" s="40" t="s">
        <v>20</v>
      </c>
      <c r="E14" s="40" t="s">
        <v>179</v>
      </c>
      <c r="F14" s="40" t="s">
        <v>7</v>
      </c>
      <c r="G14" s="41" t="s">
        <v>32</v>
      </c>
      <c r="H14" s="41" t="s">
        <v>25</v>
      </c>
      <c r="I14" s="41" t="s">
        <v>69</v>
      </c>
      <c r="J14" s="41" t="s">
        <v>180</v>
      </c>
      <c r="K14" s="41">
        <v>197029</v>
      </c>
      <c r="L14" s="41"/>
      <c r="S14" s="3">
        <v>50</v>
      </c>
      <c r="T14" s="3">
        <v>31</v>
      </c>
      <c r="X14" s="3" t="str">
        <f>IF(adatok!F14="","",adatok!F14)</f>
        <v>Sorvezető</v>
      </c>
      <c r="Y14" s="3" t="str">
        <f>IF(adatok!G14="","",adatok!G14)</f>
        <v>F4</v>
      </c>
      <c r="Z14" s="4">
        <f>IF(adatok!H14="","",adatok!H14)</f>
        <v>42229</v>
      </c>
      <c r="AA14" s="3">
        <f>IF(adatok!C14="","",adatok!C14)</f>
        <v>50</v>
      </c>
      <c r="AB14" s="3">
        <f>IF(adatok!D14="","",adatok!D14)</f>
        <v>13</v>
      </c>
      <c r="AC14" s="11" t="str">
        <f>IF(adatok!I14="","",adatok!I14)</f>
        <v>B</v>
      </c>
      <c r="AD14" s="3" t="str">
        <f>IF(adatok!J14="","",adatok!J14)</f>
        <v>A</v>
      </c>
      <c r="AE14" s="3" t="str">
        <f>IF(adatok!K14="","",adatok!K14)</f>
        <v>C</v>
      </c>
      <c r="AF14" s="3" t="str">
        <f>IF(adatok!L14="","",adatok!L14)</f>
        <v>D</v>
      </c>
      <c r="AH14" s="3" t="str">
        <f>IF(adatok!M14="","",adatok!M14)</f>
        <v>Tóth Csaba</v>
      </c>
      <c r="AI14" s="3" t="str">
        <f>IF(adatok!N14="","",adatok!N14)</f>
        <v>D4</v>
      </c>
      <c r="AJ14" s="3" t="str">
        <f>IF(adatok!O14="","",adatok!O14)</f>
        <v>A</v>
      </c>
    </row>
    <row r="15" spans="1:36" ht="24.9" customHeight="1">
      <c r="A15" s="39" t="s">
        <v>172</v>
      </c>
      <c r="B15" s="40" t="s">
        <v>23</v>
      </c>
      <c r="C15" s="40" t="s">
        <v>40</v>
      </c>
      <c r="D15" s="40" t="s">
        <v>20</v>
      </c>
      <c r="E15" s="40" t="s">
        <v>107</v>
      </c>
      <c r="F15" s="40" t="s">
        <v>11</v>
      </c>
      <c r="G15" s="41" t="s">
        <v>32</v>
      </c>
      <c r="H15" s="41" t="s">
        <v>25</v>
      </c>
      <c r="I15" s="41"/>
      <c r="J15" s="41"/>
      <c r="K15" s="41"/>
      <c r="L15" s="41"/>
      <c r="S15" s="3">
        <v>50</v>
      </c>
      <c r="T15" s="3">
        <v>31</v>
      </c>
      <c r="X15" s="3" t="str">
        <f>IF(adatok!F15="","",adatok!F15)</f>
        <v>Végellenőr</v>
      </c>
      <c r="Y15" s="3" t="str">
        <f>IF(adatok!G15="","",adatok!G15)</f>
        <v>F4</v>
      </c>
      <c r="Z15" s="4">
        <f>IF(adatok!H15="","",adatok!H15)</f>
        <v>42230</v>
      </c>
      <c r="AA15" s="3">
        <f>IF(adatok!C15="","",adatok!C15)</f>
        <v>50</v>
      </c>
      <c r="AB15" s="3">
        <f>IF(adatok!D15="","",adatok!D15)</f>
        <v>14</v>
      </c>
      <c r="AC15" s="3" t="str">
        <f>IF(adatok!I15="","",adatok!I15)</f>
        <v>D</v>
      </c>
      <c r="AD15" s="3" t="str">
        <f>IF(adatok!J15="","",adatok!J15)</f>
        <v>C</v>
      </c>
      <c r="AE15" s="3" t="str">
        <f>IF(adatok!K15="","",adatok!K15)</f>
        <v>A</v>
      </c>
      <c r="AF15" s="3" t="str">
        <f>IF(adatok!L15="","",adatok!L15)</f>
        <v>B</v>
      </c>
      <c r="AH15" s="3" t="str">
        <f>IF(adatok!M15="","",adatok!M15)</f>
        <v>Budai Róbert</v>
      </c>
      <c r="AI15" s="3" t="str">
        <f>IF(adatok!N15="","",adatok!N15)</f>
        <v>D4</v>
      </c>
      <c r="AJ15" s="3" t="str">
        <f>IF(adatok!O15="","",adatok!O15)</f>
        <v>A</v>
      </c>
    </row>
    <row r="16" spans="1:36" ht="24.9" customHeight="1">
      <c r="A16" s="39" t="s">
        <v>172</v>
      </c>
      <c r="B16" s="40" t="s">
        <v>23</v>
      </c>
      <c r="C16" s="40" t="s">
        <v>40</v>
      </c>
      <c r="D16" s="40" t="s">
        <v>20</v>
      </c>
      <c r="E16" s="40" t="s">
        <v>116</v>
      </c>
      <c r="F16" s="40" t="s">
        <v>11</v>
      </c>
      <c r="G16" s="41" t="s">
        <v>32</v>
      </c>
      <c r="H16" s="41" t="s">
        <v>25</v>
      </c>
      <c r="I16" s="41"/>
      <c r="J16" s="41"/>
      <c r="K16" s="41"/>
      <c r="L16" s="41"/>
      <c r="S16" s="3">
        <v>50</v>
      </c>
      <c r="T16" s="3">
        <v>31</v>
      </c>
      <c r="X16" s="3" t="str">
        <f>IF(adatok!F16="","",adatok!F16)</f>
        <v>Szerelő</v>
      </c>
      <c r="Y16" s="3" t="str">
        <f>IF(adatok!G16="","",adatok!G16)</f>
        <v>F4</v>
      </c>
      <c r="Z16" s="4">
        <f>IF(adatok!H16="","",adatok!H16)</f>
        <v>42231</v>
      </c>
      <c r="AA16" s="3">
        <f>IF(adatok!C16="","",adatok!C16)</f>
        <v>50</v>
      </c>
      <c r="AB16" s="3">
        <f>IF(adatok!D16="","",adatok!D16)</f>
        <v>15</v>
      </c>
      <c r="AC16" s="3" t="str">
        <f>IF(adatok!I16="","",adatok!I16)</f>
        <v>D</v>
      </c>
      <c r="AD16" s="3" t="str">
        <f>IF(adatok!J16="","",adatok!J16)</f>
        <v>C</v>
      </c>
      <c r="AE16" s="3" t="str">
        <f>IF(adatok!K16="","",adatok!K16)</f>
        <v>A</v>
      </c>
      <c r="AF16" s="3" t="str">
        <f>IF(adatok!L16="","",adatok!L16)</f>
        <v>B</v>
      </c>
      <c r="AH16" s="3" t="str">
        <f>IF(adatok!M16="","",adatok!M16)</f>
        <v>Horváth Dávid</v>
      </c>
      <c r="AI16" s="3" t="str">
        <f>IF(adatok!N16="","",adatok!N16)</f>
        <v>D4</v>
      </c>
      <c r="AJ16" s="3" t="str">
        <f>IF(adatok!O16="","",adatok!O16)</f>
        <v>A</v>
      </c>
    </row>
    <row r="17" spans="1:36" ht="24.9" customHeight="1">
      <c r="A17" s="39" t="s">
        <v>172</v>
      </c>
      <c r="B17" s="40" t="s">
        <v>22</v>
      </c>
      <c r="C17" s="40" t="s">
        <v>40</v>
      </c>
      <c r="D17" s="40" t="s">
        <v>20</v>
      </c>
      <c r="E17" s="40" t="s">
        <v>92</v>
      </c>
      <c r="F17" s="40" t="s">
        <v>7</v>
      </c>
      <c r="G17" s="41" t="s">
        <v>32</v>
      </c>
      <c r="H17" s="41" t="s">
        <v>27</v>
      </c>
      <c r="I17" s="41" t="s">
        <v>52</v>
      </c>
      <c r="J17" s="41" t="s">
        <v>181</v>
      </c>
      <c r="K17" s="41">
        <v>197027</v>
      </c>
      <c r="L17" s="41"/>
      <c r="S17" s="3">
        <v>50</v>
      </c>
      <c r="T17" s="3">
        <v>31</v>
      </c>
      <c r="X17" s="3" t="str">
        <f>IF(adatok!F17="","",adatok!F17)</f>
        <v>Perselyező</v>
      </c>
      <c r="Y17" s="3" t="str">
        <f>IF(adatok!G17="","",adatok!G17)</f>
        <v>F4</v>
      </c>
      <c r="Z17" s="4">
        <f>IF(adatok!H17="","",adatok!H17)</f>
        <v>42232</v>
      </c>
      <c r="AA17" s="3">
        <f>IF(adatok!C17="","",adatok!C17)</f>
        <v>50</v>
      </c>
      <c r="AB17" s="3">
        <f>IF(adatok!D17="","",adatok!D17)</f>
        <v>16</v>
      </c>
      <c r="AC17" s="3" t="str">
        <f>IF(adatok!I17="","",adatok!I17)</f>
        <v>A</v>
      </c>
      <c r="AD17" s="3" t="str">
        <f>IF(adatok!J17="","",adatok!J17)</f>
        <v>B</v>
      </c>
      <c r="AE17" s="3" t="str">
        <f>IF(adatok!K17="","",adatok!K17)</f>
        <v>C</v>
      </c>
      <c r="AF17" s="3" t="str">
        <f>IF(adatok!L17="","",adatok!L17)</f>
        <v>D</v>
      </c>
      <c r="AH17" s="3" t="str">
        <f>IF(adatok!M17="","",adatok!M17)</f>
        <v>Nyíri Ivett</v>
      </c>
      <c r="AI17" s="3" t="str">
        <f>IF(adatok!N17="","",adatok!N17)</f>
        <v>D4</v>
      </c>
      <c r="AJ17" s="3" t="str">
        <f>IF(adatok!O17="","",adatok!O17)</f>
        <v>A</v>
      </c>
    </row>
    <row r="18" spans="1:36" ht="24.9" customHeight="1">
      <c r="A18" s="44" t="s">
        <v>182</v>
      </c>
      <c r="B18" s="45" t="s">
        <v>22</v>
      </c>
      <c r="C18" s="45" t="s">
        <v>41</v>
      </c>
      <c r="D18" s="45" t="s">
        <v>20</v>
      </c>
      <c r="E18" s="45" t="s">
        <v>139</v>
      </c>
      <c r="F18" s="45" t="s">
        <v>7</v>
      </c>
      <c r="G18" s="41" t="s">
        <v>32</v>
      </c>
      <c r="H18" s="41" t="s">
        <v>25</v>
      </c>
      <c r="I18" s="41" t="s">
        <v>133</v>
      </c>
      <c r="J18" s="41" t="s">
        <v>183</v>
      </c>
      <c r="K18" s="41">
        <v>197030</v>
      </c>
      <c r="L18" s="41"/>
      <c r="S18" s="3">
        <v>50</v>
      </c>
      <c r="T18" s="3">
        <v>32</v>
      </c>
      <c r="Z18" s="4">
        <f>IF(adatok!H18="","",adatok!H18)</f>
        <v>42233</v>
      </c>
      <c r="AA18" s="3">
        <f>IF(adatok!C18="","",adatok!C18)</f>
        <v>50</v>
      </c>
      <c r="AB18" s="3">
        <f>IF(adatok!D18="","",adatok!D18)</f>
        <v>17</v>
      </c>
      <c r="AC18" s="3" t="str">
        <f>IF(adatok!I18="","",adatok!I18)</f>
        <v>A</v>
      </c>
      <c r="AD18" s="3" t="str">
        <f>IF(adatok!J18="","",adatok!J18)</f>
        <v>B</v>
      </c>
      <c r="AE18" s="3" t="str">
        <f>IF(adatok!K18="","",adatok!K18)</f>
        <v>C</v>
      </c>
      <c r="AF18" s="3" t="str">
        <f>IF(adatok!L18="","",adatok!L18)</f>
        <v>D</v>
      </c>
      <c r="AH18" s="3" t="str">
        <f>IF(adatok!M18="","",adatok!M18)</f>
        <v>Ivancsó Balázs</v>
      </c>
      <c r="AI18" s="3" t="str">
        <f>IF(adatok!N18="","",adatok!N18)</f>
        <v>D4</v>
      </c>
      <c r="AJ18" s="3" t="str">
        <f>IF(adatok!O18="","",adatok!O18)</f>
        <v>A</v>
      </c>
    </row>
    <row r="19" spans="1:36" ht="24.9" customHeight="1">
      <c r="A19" s="44" t="s">
        <v>182</v>
      </c>
      <c r="B19" s="45" t="s">
        <v>22</v>
      </c>
      <c r="C19" s="45" t="s">
        <v>41</v>
      </c>
      <c r="D19" s="45" t="s">
        <v>20</v>
      </c>
      <c r="E19" s="45" t="s">
        <v>143</v>
      </c>
      <c r="F19" s="45" t="s">
        <v>7</v>
      </c>
      <c r="G19" s="41" t="s">
        <v>32</v>
      </c>
      <c r="H19" s="41" t="s">
        <v>25</v>
      </c>
      <c r="I19" s="41" t="s">
        <v>136</v>
      </c>
      <c r="J19" s="41" t="s">
        <v>184</v>
      </c>
      <c r="K19" s="41">
        <v>197030</v>
      </c>
      <c r="L19" s="41"/>
      <c r="S19" s="3">
        <v>50</v>
      </c>
      <c r="T19" s="3">
        <v>32</v>
      </c>
      <c r="Z19" s="4">
        <f>IF(adatok!H19="","",adatok!H19)</f>
        <v>42234</v>
      </c>
      <c r="AA19" s="3">
        <f>IF(adatok!C19="","",adatok!C19)</f>
        <v>50</v>
      </c>
      <c r="AB19" s="3">
        <f>IF(adatok!D19="","",adatok!D19)</f>
        <v>18</v>
      </c>
      <c r="AC19" s="3" t="str">
        <f>IF(adatok!I19="","",adatok!I19)</f>
        <v xml:space="preserve">C </v>
      </c>
      <c r="AD19" s="3" t="str">
        <f>IF(adatok!J19="","",adatok!J19)</f>
        <v>D</v>
      </c>
      <c r="AE19" s="3" t="str">
        <f>IF(adatok!K19="","",adatok!K19)</f>
        <v>A</v>
      </c>
      <c r="AF19" s="3" t="str">
        <f>IF(adatok!L19="","",adatok!L19)</f>
        <v>B</v>
      </c>
      <c r="AH19" s="3" t="str">
        <f>IF(adatok!M19="","",adatok!M19)</f>
        <v>Bogdán Tímea</v>
      </c>
      <c r="AI19" s="3" t="str">
        <f>IF(adatok!N19="","",adatok!N19)</f>
        <v>D4</v>
      </c>
      <c r="AJ19" s="3" t="str">
        <f>IF(adatok!O19="","",adatok!O19)</f>
        <v>A</v>
      </c>
    </row>
    <row r="20" spans="1:36" ht="24.9" customHeight="1">
      <c r="A20" s="44" t="s">
        <v>182</v>
      </c>
      <c r="B20" s="45" t="s">
        <v>23</v>
      </c>
      <c r="C20" s="45" t="s">
        <v>41</v>
      </c>
      <c r="D20" s="45" t="s">
        <v>20</v>
      </c>
      <c r="E20" s="45" t="s">
        <v>173</v>
      </c>
      <c r="F20" s="45" t="s">
        <v>7</v>
      </c>
      <c r="G20" s="41" t="s">
        <v>32</v>
      </c>
      <c r="H20" s="41" t="s">
        <v>24</v>
      </c>
      <c r="I20" s="41" t="s">
        <v>128</v>
      </c>
      <c r="J20" s="41"/>
      <c r="K20" s="41"/>
      <c r="L20" s="41"/>
      <c r="S20" s="3">
        <v>50</v>
      </c>
      <c r="T20" s="3">
        <v>32</v>
      </c>
      <c r="X20" s="3" t="str">
        <f>IF(adatok!F20="","",adatok!F20)</f>
        <v/>
      </c>
      <c r="Y20" s="3" t="str">
        <f>IF(adatok!G20="","",adatok!G20)</f>
        <v/>
      </c>
      <c r="Z20" s="4">
        <f>IF(adatok!H20="","",adatok!H20)</f>
        <v>42235</v>
      </c>
      <c r="AA20" s="3">
        <f>IF(adatok!C20="","",adatok!C20)</f>
        <v>50</v>
      </c>
      <c r="AB20" s="3">
        <f>IF(adatok!D20="","",adatok!D20)</f>
        <v>19</v>
      </c>
      <c r="AC20" s="3" t="str">
        <f>IF(adatok!I20="","",adatok!I20)</f>
        <v>C</v>
      </c>
      <c r="AD20" s="3" t="str">
        <f>IF(adatok!J20="","",adatok!J20)</f>
        <v>D</v>
      </c>
      <c r="AE20" s="3" t="str">
        <f>IF(adatok!K20="","",adatok!K20)</f>
        <v>A</v>
      </c>
      <c r="AF20" s="3" t="str">
        <f>IF(adatok!L20="","",adatok!L20)</f>
        <v>B</v>
      </c>
      <c r="AH20" s="3" t="str">
        <f>IF(adatok!M20="","",adatok!M20)</f>
        <v>Hegedűs Máté</v>
      </c>
      <c r="AI20" s="3" t="str">
        <f>IF(adatok!N20="","",adatok!N20)</f>
        <v>D4</v>
      </c>
      <c r="AJ20" s="3" t="str">
        <f>IF(adatok!O20="","",adatok!O20)</f>
        <v>A</v>
      </c>
    </row>
    <row r="21" spans="1:36" ht="24.9" customHeight="1">
      <c r="A21" s="44" t="s">
        <v>182</v>
      </c>
      <c r="B21" s="45" t="s">
        <v>22</v>
      </c>
      <c r="C21" s="45" t="s">
        <v>40</v>
      </c>
      <c r="D21" s="45" t="s">
        <v>20</v>
      </c>
      <c r="E21" s="45" t="s">
        <v>98</v>
      </c>
      <c r="F21" s="45" t="s">
        <v>7</v>
      </c>
      <c r="G21" s="41" t="s">
        <v>32</v>
      </c>
      <c r="H21" s="41" t="s">
        <v>25</v>
      </c>
      <c r="I21" s="41"/>
      <c r="J21" s="41"/>
      <c r="K21" s="41"/>
      <c r="L21" s="41"/>
      <c r="S21" s="3">
        <v>50</v>
      </c>
      <c r="T21" s="3">
        <v>32</v>
      </c>
      <c r="X21" s="3" t="str">
        <f>IF(adatok!F21="","",adatok!F21)</f>
        <v/>
      </c>
      <c r="Y21" s="3" t="str">
        <f>IF(adatok!G21="","",adatok!G21)</f>
        <v/>
      </c>
      <c r="Z21" s="4">
        <f>IF(adatok!H21="","",adatok!H21)</f>
        <v>42236</v>
      </c>
      <c r="AA21" s="3">
        <f>IF(adatok!C21="","",adatok!C21)</f>
        <v>50</v>
      </c>
      <c r="AB21" s="3">
        <f>IF(adatok!D21="","",adatok!D21)</f>
        <v>20</v>
      </c>
      <c r="AC21" s="11" t="str">
        <f>IF(adatok!I21="","",adatok!I21)</f>
        <v>B</v>
      </c>
      <c r="AD21" s="11" t="str">
        <f>IF(adatok!J21="","",adatok!J21)</f>
        <v>A</v>
      </c>
      <c r="AE21" s="3" t="str">
        <f>IF(adatok!K21="","",adatok!K21)</f>
        <v>C</v>
      </c>
      <c r="AF21" s="3" t="str">
        <f>IF(adatok!L21="","",adatok!L21)</f>
        <v>D</v>
      </c>
      <c r="AH21" s="3" t="str">
        <f>IF(adatok!M21="","",adatok!M21)</f>
        <v>Harsányi Attila</v>
      </c>
      <c r="AI21" s="3" t="str">
        <f>IF(adatok!N21="","",adatok!N21)</f>
        <v>D4</v>
      </c>
      <c r="AJ21" s="3" t="str">
        <f>IF(adatok!O21="","",adatok!O21)</f>
        <v>B</v>
      </c>
    </row>
    <row r="22" spans="1:36" ht="24.9" customHeight="1">
      <c r="A22" s="44" t="s">
        <v>182</v>
      </c>
      <c r="B22" s="45" t="s">
        <v>22</v>
      </c>
      <c r="C22" s="45" t="s">
        <v>40</v>
      </c>
      <c r="D22" s="45" t="s">
        <v>164</v>
      </c>
      <c r="E22" s="45" t="s">
        <v>175</v>
      </c>
      <c r="F22" s="45" t="s">
        <v>11</v>
      </c>
      <c r="G22" s="41" t="s">
        <v>32</v>
      </c>
      <c r="H22" s="41" t="s">
        <v>25</v>
      </c>
      <c r="I22" s="41"/>
      <c r="J22" s="41"/>
      <c r="K22" s="41"/>
      <c r="L22" s="41"/>
      <c r="S22" s="3">
        <v>50</v>
      </c>
      <c r="T22" s="3">
        <v>32</v>
      </c>
      <c r="X22" s="3" t="str">
        <f>IF(adatok!F22="","",adatok!F22)</f>
        <v/>
      </c>
      <c r="Y22" s="3" t="str">
        <f>IF(adatok!G22="","",adatok!G22)</f>
        <v/>
      </c>
      <c r="Z22" s="4">
        <f>IF(adatok!H22="","",adatok!H22)</f>
        <v>42237</v>
      </c>
      <c r="AA22" s="3">
        <f>IF(adatok!C22="","",adatok!C22)</f>
        <v>50</v>
      </c>
      <c r="AB22" s="3">
        <f>IF(adatok!D22="","",adatok!D22)</f>
        <v>21</v>
      </c>
      <c r="AC22" s="11" t="str">
        <f>IF(adatok!I22="","",adatok!I22)</f>
        <v>B</v>
      </c>
      <c r="AD22" s="3" t="str">
        <f>IF(adatok!J22="","",adatok!J22)</f>
        <v>A</v>
      </c>
      <c r="AE22" s="3" t="str">
        <f>IF(adatok!K22="","",adatok!K22)</f>
        <v>C</v>
      </c>
      <c r="AF22" s="3" t="str">
        <f>IF(adatok!L22="","",adatok!L22)</f>
        <v>D</v>
      </c>
      <c r="AH22" s="3" t="str">
        <f>IF(adatok!M22="","",adatok!M22)</f>
        <v>Dányi Tamás</v>
      </c>
      <c r="AI22" s="3" t="str">
        <f>IF(adatok!N22="","",adatok!N22)</f>
        <v>D4</v>
      </c>
      <c r="AJ22" s="3" t="str">
        <f>IF(adatok!O22="","",adatok!O22)</f>
        <v>B</v>
      </c>
    </row>
    <row r="23" spans="1:36" ht="24.9" customHeight="1">
      <c r="A23" s="44" t="s">
        <v>182</v>
      </c>
      <c r="B23" s="45" t="s">
        <v>22</v>
      </c>
      <c r="C23" s="45" t="s">
        <v>40</v>
      </c>
      <c r="D23" s="45" t="s">
        <v>19</v>
      </c>
      <c r="E23" s="45" t="s">
        <v>87</v>
      </c>
      <c r="F23" s="45" t="s">
        <v>7</v>
      </c>
      <c r="G23" s="41" t="s">
        <v>32</v>
      </c>
      <c r="H23" s="41" t="s">
        <v>25</v>
      </c>
      <c r="I23" s="41" t="s">
        <v>80</v>
      </c>
      <c r="J23" s="41" t="s">
        <v>185</v>
      </c>
      <c r="K23" s="41">
        <v>197030</v>
      </c>
      <c r="L23" s="41"/>
      <c r="S23" s="3">
        <v>50</v>
      </c>
      <c r="T23" s="3">
        <v>32</v>
      </c>
      <c r="X23" s="3" t="str">
        <f>IF(adatok!F23="","",adatok!F23)</f>
        <v/>
      </c>
      <c r="Y23" s="3" t="str">
        <f>IF(adatok!G23="","",adatok!G23)</f>
        <v/>
      </c>
      <c r="Z23" s="4">
        <f>IF(adatok!H23="","",adatok!H23)</f>
        <v>42238</v>
      </c>
      <c r="AA23" s="3">
        <f>IF(adatok!C23="","",adatok!C23)</f>
        <v>50</v>
      </c>
      <c r="AB23" s="3">
        <f>IF(adatok!D23="","",adatok!D23)</f>
        <v>22</v>
      </c>
      <c r="AC23" s="3" t="str">
        <f>IF(adatok!I23="","",adatok!I23)</f>
        <v>D</v>
      </c>
      <c r="AD23" s="3" t="str">
        <f>IF(adatok!J23="","",adatok!J23)</f>
        <v>C</v>
      </c>
      <c r="AE23" s="3" t="str">
        <f>IF(adatok!K23="","",adatok!K23)</f>
        <v>A</v>
      </c>
      <c r="AF23" s="3" t="str">
        <f>IF(adatok!L23="","",adatok!L23)</f>
        <v>B</v>
      </c>
      <c r="AH23" s="3" t="str">
        <f>IF(adatok!M23="","",adatok!M23)</f>
        <v>Kucsma Krisztina</v>
      </c>
      <c r="AI23" s="3" t="str">
        <f>IF(adatok!N23="","",adatok!N23)</f>
        <v>D4</v>
      </c>
      <c r="AJ23" s="3" t="str">
        <f>IF(adatok!O23="","",adatok!O23)</f>
        <v>B</v>
      </c>
    </row>
    <row r="24" spans="1:36" ht="24.9" customHeight="1">
      <c r="A24" s="44" t="s">
        <v>182</v>
      </c>
      <c r="B24" s="45" t="s">
        <v>22</v>
      </c>
      <c r="C24" s="45" t="s">
        <v>40</v>
      </c>
      <c r="D24" s="45" t="s">
        <v>20</v>
      </c>
      <c r="E24" s="45" t="s">
        <v>92</v>
      </c>
      <c r="F24" s="45" t="s">
        <v>7</v>
      </c>
      <c r="G24" s="41" t="s">
        <v>32</v>
      </c>
      <c r="H24" s="41" t="s">
        <v>25</v>
      </c>
      <c r="I24" s="41"/>
      <c r="J24" s="41"/>
      <c r="K24" s="41"/>
      <c r="L24" s="41"/>
      <c r="S24" s="3">
        <v>50</v>
      </c>
      <c r="T24" s="3">
        <v>32</v>
      </c>
      <c r="X24" s="3" t="str">
        <f>IF(adatok!F24="","",adatok!F24)</f>
        <v/>
      </c>
      <c r="Y24" s="3" t="str">
        <f>IF(adatok!G24="","",adatok!G24)</f>
        <v/>
      </c>
      <c r="Z24" s="4">
        <f>IF(adatok!H24="","",adatok!H24)</f>
        <v>42239</v>
      </c>
      <c r="AA24" s="3">
        <f>IF(adatok!C24="","",adatok!C24)</f>
        <v>50</v>
      </c>
      <c r="AB24" s="3">
        <f>IF(adatok!D24="","",adatok!D24)</f>
        <v>23</v>
      </c>
      <c r="AC24" s="3" t="str">
        <f>IF(adatok!I24="","",adatok!I24)</f>
        <v>D</v>
      </c>
      <c r="AD24" s="3" t="str">
        <f>IF(adatok!J24="","",adatok!J24)</f>
        <v>C</v>
      </c>
      <c r="AE24" s="3" t="str">
        <f>IF(adatok!K24="","",adatok!K24)</f>
        <v>A</v>
      </c>
      <c r="AF24" s="3" t="str">
        <f>IF(adatok!L24="","",adatok!L24)</f>
        <v>B</v>
      </c>
      <c r="AH24" s="3" t="str">
        <f>IF(adatok!M24="","",adatok!M24)</f>
        <v>Szabó Szabina</v>
      </c>
      <c r="AI24" s="3" t="str">
        <f>IF(adatok!N24="","",adatok!N24)</f>
        <v>D4</v>
      </c>
      <c r="AJ24" s="3" t="str">
        <f>IF(adatok!O24="","",adatok!O24)</f>
        <v>B</v>
      </c>
    </row>
    <row r="25" spans="1:36" ht="24.9" customHeight="1">
      <c r="A25" s="44" t="s">
        <v>182</v>
      </c>
      <c r="B25" s="45" t="s">
        <v>23</v>
      </c>
      <c r="C25" s="45" t="s">
        <v>40</v>
      </c>
      <c r="D25" s="45" t="s">
        <v>42</v>
      </c>
      <c r="E25" s="45" t="s">
        <v>115</v>
      </c>
      <c r="F25" s="45" t="s">
        <v>7</v>
      </c>
      <c r="G25" s="41" t="s">
        <v>32</v>
      </c>
      <c r="H25" s="41" t="s">
        <v>24</v>
      </c>
      <c r="I25" s="41" t="s">
        <v>46</v>
      </c>
      <c r="J25" s="41"/>
      <c r="K25" s="41"/>
      <c r="L25" s="41"/>
      <c r="S25" s="3">
        <v>50</v>
      </c>
      <c r="T25" s="3">
        <v>32</v>
      </c>
      <c r="X25" s="3" t="str">
        <f>IF(adatok!F25="","",adatok!F25)</f>
        <v/>
      </c>
      <c r="Y25" s="3" t="str">
        <f>IF(adatok!G25="","",adatok!G25)</f>
        <v/>
      </c>
      <c r="Z25" s="4">
        <f>IF(adatok!H25="","",adatok!H25)</f>
        <v>42240</v>
      </c>
      <c r="AA25" s="3">
        <f>IF(adatok!C25="","",adatok!C25)</f>
        <v>50</v>
      </c>
      <c r="AB25" s="3">
        <f>IF(adatok!D25="","",adatok!D25)</f>
        <v>24</v>
      </c>
      <c r="AC25" s="3" t="str">
        <f>IF(adatok!I25="","",adatok!I25)</f>
        <v>A</v>
      </c>
      <c r="AD25" s="3" t="str">
        <f>IF(adatok!J25="","",adatok!J25)</f>
        <v>B</v>
      </c>
      <c r="AE25" s="3" t="str">
        <f>IF(adatok!K25="","",adatok!K25)</f>
        <v>C</v>
      </c>
      <c r="AF25" s="3" t="str">
        <f>IF(adatok!L25="","",adatok!L25)</f>
        <v>D</v>
      </c>
      <c r="AH25" s="3" t="str">
        <f>IF(adatok!M25="","",adatok!M25)</f>
        <v>Búza Beáta</v>
      </c>
      <c r="AI25" s="3" t="str">
        <f>IF(adatok!N25="","",adatok!N25)</f>
        <v>D4</v>
      </c>
      <c r="AJ25" s="3" t="str">
        <f>IF(adatok!O25="","",adatok!O25)</f>
        <v>B</v>
      </c>
    </row>
    <row r="26" spans="1:36" ht="24.9" customHeight="1">
      <c r="A26" s="44" t="s">
        <v>182</v>
      </c>
      <c r="B26" s="45" t="s">
        <v>23</v>
      </c>
      <c r="C26" s="45" t="s">
        <v>40</v>
      </c>
      <c r="D26" s="45" t="s">
        <v>20</v>
      </c>
      <c r="E26" s="45" t="s">
        <v>179</v>
      </c>
      <c r="F26" s="45" t="s">
        <v>7</v>
      </c>
      <c r="G26" s="41" t="s">
        <v>32</v>
      </c>
      <c r="H26" s="41" t="s">
        <v>24</v>
      </c>
      <c r="I26" s="41" t="s">
        <v>61</v>
      </c>
      <c r="J26" s="41"/>
      <c r="K26" s="41"/>
      <c r="L26" s="41"/>
      <c r="S26" s="3">
        <v>50</v>
      </c>
      <c r="T26" s="3">
        <v>32</v>
      </c>
      <c r="X26" s="3" t="str">
        <f>IF(adatok!F26="","",adatok!F26)</f>
        <v/>
      </c>
      <c r="Y26" s="3" t="str">
        <f>IF(adatok!G26="","",adatok!G26)</f>
        <v/>
      </c>
      <c r="Z26" s="4">
        <f>IF(adatok!H26="","",adatok!H26)</f>
        <v>42241</v>
      </c>
      <c r="AA26" s="3">
        <f>IF(adatok!C26="","",adatok!C26)</f>
        <v>50</v>
      </c>
      <c r="AB26" s="3">
        <f>IF(adatok!D26="","",adatok!D26)</f>
        <v>25</v>
      </c>
      <c r="AC26" s="3" t="str">
        <f>IF(adatok!I26="","",adatok!I26)</f>
        <v>A</v>
      </c>
      <c r="AD26" s="3" t="str">
        <f>IF(adatok!J26="","",adatok!J26)</f>
        <v>B</v>
      </c>
      <c r="AE26" s="3" t="str">
        <f>IF(adatok!K26="","",adatok!K26)</f>
        <v>C</v>
      </c>
      <c r="AF26" s="3" t="str">
        <f>IF(adatok!L26="","",adatok!L26)</f>
        <v>D</v>
      </c>
      <c r="AH26" s="3" t="str">
        <f>IF(adatok!M26="","",adatok!M26)</f>
        <v>Csontos Orsolya</v>
      </c>
      <c r="AI26" s="3" t="str">
        <f>IF(adatok!N26="","",adatok!N26)</f>
        <v>D4</v>
      </c>
      <c r="AJ26" s="3" t="str">
        <f>IF(adatok!O26="","",adatok!O26)</f>
        <v>B</v>
      </c>
    </row>
    <row r="27" spans="1:36" ht="24.9" customHeight="1">
      <c r="A27" s="44" t="s">
        <v>186</v>
      </c>
      <c r="B27" s="45" t="s">
        <v>23</v>
      </c>
      <c r="C27" s="45" t="s">
        <v>40</v>
      </c>
      <c r="D27" s="45" t="s">
        <v>18</v>
      </c>
      <c r="E27" s="45" t="s">
        <v>44</v>
      </c>
      <c r="F27" s="45" t="s">
        <v>7</v>
      </c>
      <c r="G27" s="41" t="s">
        <v>32</v>
      </c>
      <c r="H27" s="41" t="s">
        <v>26</v>
      </c>
      <c r="I27" s="41" t="s">
        <v>111</v>
      </c>
      <c r="J27" s="41"/>
      <c r="K27" s="41"/>
      <c r="L27" s="41"/>
      <c r="S27" s="3">
        <v>50</v>
      </c>
      <c r="T27" s="3">
        <v>32</v>
      </c>
      <c r="X27" s="3" t="str">
        <f>IF(adatok!F27="","",adatok!F27)</f>
        <v/>
      </c>
      <c r="Y27" s="3" t="str">
        <f>IF(adatok!G27="","",adatok!G27)</f>
        <v/>
      </c>
      <c r="Z27" s="4">
        <f>IF(adatok!H27="","",adatok!H27)</f>
        <v>42242</v>
      </c>
      <c r="AA27" s="3">
        <f>IF(adatok!C27="","",adatok!C27)</f>
        <v>50</v>
      </c>
      <c r="AB27" s="3">
        <f>IF(adatok!D27="","",adatok!D27)</f>
        <v>26</v>
      </c>
      <c r="AC27" s="3" t="str">
        <f>IF(adatok!I27="","",adatok!I27)</f>
        <v xml:space="preserve">C </v>
      </c>
      <c r="AD27" s="11" t="str">
        <f>IF(adatok!J27="","",adatok!J27)</f>
        <v>D</v>
      </c>
      <c r="AE27" s="3" t="str">
        <f>IF(adatok!K27="","",adatok!K27)</f>
        <v>A</v>
      </c>
      <c r="AF27" s="3" t="str">
        <f>IF(adatok!L27="","",adatok!L27)</f>
        <v>B</v>
      </c>
      <c r="AH27" s="3" t="str">
        <f>IF(adatok!M27="","",adatok!M27)</f>
        <v>Szőlősi Beáta</v>
      </c>
      <c r="AI27" s="3" t="str">
        <f>IF(adatok!N27="","",adatok!N27)</f>
        <v>D4</v>
      </c>
      <c r="AJ27" s="3" t="str">
        <f>IF(adatok!O27="","",adatok!O27)</f>
        <v>B</v>
      </c>
    </row>
    <row r="28" spans="1:36" ht="24.9" customHeight="1">
      <c r="A28" s="44" t="s">
        <v>186</v>
      </c>
      <c r="B28" s="45" t="s">
        <v>23</v>
      </c>
      <c r="C28" s="45" t="s">
        <v>40</v>
      </c>
      <c r="D28" s="45" t="s">
        <v>42</v>
      </c>
      <c r="E28" s="45" t="s">
        <v>59</v>
      </c>
      <c r="F28" s="45" t="s">
        <v>11</v>
      </c>
      <c r="G28" s="41" t="s">
        <v>32</v>
      </c>
      <c r="H28" s="41" t="s">
        <v>26</v>
      </c>
      <c r="I28" s="41" t="s">
        <v>105</v>
      </c>
      <c r="J28" s="41"/>
      <c r="K28" s="41"/>
      <c r="L28" s="41"/>
      <c r="S28" s="3">
        <v>50</v>
      </c>
      <c r="T28" s="3">
        <v>32</v>
      </c>
      <c r="X28" s="3" t="str">
        <f>IF(adatok!F28="","",adatok!F28)</f>
        <v/>
      </c>
      <c r="Y28" s="3" t="str">
        <f>IF(adatok!G28="","",adatok!G28)</f>
        <v/>
      </c>
      <c r="Z28" s="4">
        <f>IF(adatok!H28="","",adatok!H28)</f>
        <v>42243</v>
      </c>
      <c r="AA28" s="3">
        <f>IF(adatok!C28="","",adatok!C28)</f>
        <v>50</v>
      </c>
      <c r="AB28" s="3">
        <f>IF(adatok!D28="","",adatok!D28)</f>
        <v>27</v>
      </c>
      <c r="AC28" s="11" t="str">
        <f>IF(adatok!I28="","",adatok!I28)</f>
        <v>C</v>
      </c>
      <c r="AD28" s="3" t="str">
        <f>IF(adatok!J28="","",adatok!J28)</f>
        <v>D</v>
      </c>
      <c r="AE28" s="3" t="str">
        <f>IF(adatok!K28="","",adatok!K28)</f>
        <v>A</v>
      </c>
      <c r="AF28" s="3" t="str">
        <f>IF(adatok!L28="","",adatok!L28)</f>
        <v>B</v>
      </c>
      <c r="AH28" s="3" t="str">
        <f>IF(adatok!M28="","",adatok!M28)</f>
        <v>Hajdu Tamás</v>
      </c>
      <c r="AI28" s="3" t="str">
        <f>IF(adatok!N28="","",adatok!N28)</f>
        <v>D4</v>
      </c>
      <c r="AJ28" s="3" t="str">
        <f>IF(adatok!O28="","",adatok!O28)</f>
        <v>B</v>
      </c>
    </row>
    <row r="29" spans="1:36" ht="24.9" customHeight="1">
      <c r="A29" s="44" t="s">
        <v>186</v>
      </c>
      <c r="B29" s="45" t="s">
        <v>22</v>
      </c>
      <c r="C29" s="45" t="s">
        <v>40</v>
      </c>
      <c r="D29" s="45" t="s">
        <v>20</v>
      </c>
      <c r="E29" s="45" t="s">
        <v>65</v>
      </c>
      <c r="F29" s="45" t="s">
        <v>7</v>
      </c>
      <c r="G29" s="41" t="s">
        <v>32</v>
      </c>
      <c r="H29" s="41" t="s">
        <v>27</v>
      </c>
      <c r="I29" s="41" t="s">
        <v>97</v>
      </c>
      <c r="J29" s="41"/>
      <c r="K29" s="41"/>
      <c r="L29" s="41"/>
      <c r="S29" s="3">
        <v>50</v>
      </c>
      <c r="T29" s="3">
        <v>32</v>
      </c>
      <c r="X29" s="3" t="str">
        <f>IF(adatok!F29="","",adatok!F29)</f>
        <v/>
      </c>
      <c r="Y29" s="3" t="str">
        <f>IF(adatok!G29="","",adatok!G29)</f>
        <v/>
      </c>
      <c r="Z29" s="4">
        <f>IF(adatok!H29="","",adatok!H29)</f>
        <v>42244</v>
      </c>
      <c r="AA29" s="3">
        <f>IF(adatok!C29="","",adatok!C29)</f>
        <v>50</v>
      </c>
      <c r="AB29" s="3">
        <f>IF(adatok!D29="","",adatok!D29)</f>
        <v>28</v>
      </c>
      <c r="AC29" s="3" t="str">
        <f>IF(adatok!I29="","",adatok!I29)</f>
        <v>B</v>
      </c>
      <c r="AD29" s="3" t="str">
        <f>IF(adatok!J29="","",adatok!J29)</f>
        <v>A</v>
      </c>
      <c r="AE29" s="3" t="str">
        <f>IF(adatok!K29="","",adatok!K29)</f>
        <v>C</v>
      </c>
      <c r="AF29" s="3" t="str">
        <f>IF(adatok!L29="","",adatok!L29)</f>
        <v>D</v>
      </c>
      <c r="AH29" s="3" t="str">
        <f>IF(adatok!M29="","",adatok!M29)</f>
        <v>Fitos Zsolt</v>
      </c>
      <c r="AI29" s="3" t="str">
        <f>IF(adatok!N29="","",adatok!N29)</f>
        <v>D4</v>
      </c>
      <c r="AJ29" s="3" t="str">
        <f>IF(adatok!O29="","",adatok!O29)</f>
        <v>B</v>
      </c>
    </row>
    <row r="30" spans="1:36" ht="24.9" customHeight="1">
      <c r="A30" s="44" t="s">
        <v>186</v>
      </c>
      <c r="B30" s="45" t="s">
        <v>23</v>
      </c>
      <c r="C30" s="45" t="s">
        <v>41</v>
      </c>
      <c r="D30" s="45" t="s">
        <v>20</v>
      </c>
      <c r="E30" s="45" t="s">
        <v>122</v>
      </c>
      <c r="F30" s="45" t="s">
        <v>7</v>
      </c>
      <c r="G30" s="41"/>
      <c r="H30" s="41" t="s">
        <v>26</v>
      </c>
      <c r="I30" s="41" t="s">
        <v>148</v>
      </c>
      <c r="J30" s="41"/>
      <c r="K30" s="41"/>
      <c r="L30" s="41"/>
      <c r="S30" s="3">
        <v>50</v>
      </c>
      <c r="T30" s="3">
        <v>32</v>
      </c>
      <c r="X30" s="3" t="str">
        <f>IF(adatok!F30="","",adatok!F30)</f>
        <v/>
      </c>
      <c r="Y30" s="3" t="str">
        <f>IF(adatok!G30="","",adatok!G30)</f>
        <v/>
      </c>
      <c r="Z30" s="4">
        <f>IF(adatok!H30="","",adatok!H30)</f>
        <v>42245</v>
      </c>
      <c r="AA30" s="3">
        <f>IF(adatok!C30="","",adatok!C30)</f>
        <v>50</v>
      </c>
      <c r="AB30" s="3">
        <f>IF(adatok!D30="","",adatok!D30)</f>
        <v>29</v>
      </c>
      <c r="AC30" s="3" t="str">
        <f>IF(adatok!I30="","",adatok!I30)</f>
        <v>B</v>
      </c>
      <c r="AD30" s="3" t="str">
        <f>IF(adatok!J30="","",adatok!J30)</f>
        <v>A</v>
      </c>
      <c r="AE30" s="3" t="str">
        <f>IF(adatok!K30="","",adatok!K30)</f>
        <v>C</v>
      </c>
      <c r="AF30" s="3" t="str">
        <f>IF(adatok!L30="","",adatok!L30)</f>
        <v>D</v>
      </c>
      <c r="AH30" s="3" t="str">
        <f>IF(adatok!M30="","",adatok!M30)</f>
        <v>Drótos Natália</v>
      </c>
      <c r="AI30" s="3" t="str">
        <f>IF(adatok!N30="","",adatok!N30)</f>
        <v>D4</v>
      </c>
      <c r="AJ30" s="3" t="str">
        <f>IF(adatok!O30="","",adatok!O30)</f>
        <v>B</v>
      </c>
    </row>
    <row r="31" spans="1:36" ht="24.9" customHeight="1">
      <c r="A31" s="44" t="s">
        <v>186</v>
      </c>
      <c r="B31" s="45" t="s">
        <v>22</v>
      </c>
      <c r="C31" s="45" t="s">
        <v>40</v>
      </c>
      <c r="D31" s="45" t="s">
        <v>38</v>
      </c>
      <c r="E31" s="45" t="s">
        <v>187</v>
      </c>
      <c r="F31" s="45" t="s">
        <v>7</v>
      </c>
      <c r="G31" s="41"/>
      <c r="H31" s="41" t="s">
        <v>27</v>
      </c>
      <c r="I31" s="41" t="s">
        <v>95</v>
      </c>
      <c r="J31" s="41"/>
      <c r="K31" s="41"/>
      <c r="L31" s="41"/>
      <c r="S31" s="3">
        <v>50</v>
      </c>
      <c r="T31" s="3">
        <v>32</v>
      </c>
      <c r="X31" s="3" t="str">
        <f>IF(adatok!F31="","",adatok!F31)</f>
        <v/>
      </c>
      <c r="Y31" s="3" t="str">
        <f>IF(adatok!G31="","",adatok!G31)</f>
        <v/>
      </c>
      <c r="Z31" s="4">
        <f>IF(adatok!H31="","",adatok!H31)</f>
        <v>42246</v>
      </c>
      <c r="AA31" s="3">
        <f>IF(adatok!C31="","",adatok!C31)</f>
        <v>50</v>
      </c>
      <c r="AB31" s="3">
        <f>IF(adatok!D31="","",adatok!D31)</f>
        <v>30</v>
      </c>
      <c r="AC31" s="3" t="str">
        <f>IF(adatok!I31="","",adatok!I31)</f>
        <v>D</v>
      </c>
      <c r="AD31" s="3" t="str">
        <f>IF(adatok!J31="","",adatok!J31)</f>
        <v>C</v>
      </c>
      <c r="AE31" s="3" t="str">
        <f>IF(adatok!K31="","",adatok!K31)</f>
        <v>A</v>
      </c>
      <c r="AF31" s="3" t="str">
        <f>IF(adatok!L31="","",adatok!L31)</f>
        <v>B</v>
      </c>
      <c r="AH31" s="3" t="str">
        <f>IF(adatok!M31="","",adatok!M31)</f>
        <v>Rózsavölgyi Sándor</v>
      </c>
      <c r="AI31" s="3" t="str">
        <f>IF(adatok!N31="","",adatok!N31)</f>
        <v>D4</v>
      </c>
      <c r="AJ31" s="3" t="str">
        <f>IF(adatok!O31="","",adatok!O31)</f>
        <v>B</v>
      </c>
    </row>
    <row r="32" spans="1:36" ht="24.9" customHeight="1">
      <c r="A32" s="44" t="s">
        <v>188</v>
      </c>
      <c r="B32" s="45" t="s">
        <v>23</v>
      </c>
      <c r="C32" s="45" t="s">
        <v>40</v>
      </c>
      <c r="D32" s="45" t="s">
        <v>18</v>
      </c>
      <c r="E32" s="45" t="s">
        <v>44</v>
      </c>
      <c r="F32" s="45" t="s">
        <v>7</v>
      </c>
      <c r="G32" s="41" t="s">
        <v>32</v>
      </c>
      <c r="H32" s="41" t="s">
        <v>27</v>
      </c>
      <c r="I32" s="41"/>
      <c r="J32" s="41"/>
      <c r="K32" s="41"/>
      <c r="L32" s="41"/>
      <c r="S32" s="3">
        <v>50</v>
      </c>
      <c r="T32" s="3">
        <v>32</v>
      </c>
      <c r="X32" s="3" t="str">
        <f>IF(adatok!F32="","",adatok!F32)</f>
        <v/>
      </c>
      <c r="Y32" s="3" t="str">
        <f>IF(adatok!G32="","",adatok!G32)</f>
        <v/>
      </c>
      <c r="Z32" s="4">
        <f>IF(adatok!H32="","",adatok!H32)</f>
        <v>42247</v>
      </c>
      <c r="AA32" s="3">
        <f>IF(adatok!C32="","",adatok!C32)</f>
        <v>50</v>
      </c>
      <c r="AB32" s="3">
        <f>IF(adatok!D32="","",adatok!D32)</f>
        <v>31</v>
      </c>
      <c r="AC32" s="3" t="str">
        <f>IF(adatok!I32="","",adatok!I32)</f>
        <v>D</v>
      </c>
      <c r="AD32" s="3" t="str">
        <f>IF(adatok!J32="","",adatok!J32)</f>
        <v>C</v>
      </c>
      <c r="AE32" s="3" t="str">
        <f>IF(adatok!K32="","",adatok!K32)</f>
        <v>A</v>
      </c>
      <c r="AF32" s="3" t="str">
        <f>IF(adatok!L32="","",adatok!L32)</f>
        <v>B</v>
      </c>
      <c r="AH32" s="3" t="str">
        <f>IF(adatok!M32="","",adatok!M32)</f>
        <v>Szathmáry-Rácz István</v>
      </c>
      <c r="AI32" s="3" t="str">
        <f>IF(adatok!N32="","",adatok!N32)</f>
        <v>D4</v>
      </c>
      <c r="AJ32" s="3" t="str">
        <f>IF(adatok!O32="","",adatok!O32)</f>
        <v>B</v>
      </c>
    </row>
    <row r="33" spans="1:36" ht="24.9" customHeight="1">
      <c r="A33" s="44" t="s">
        <v>188</v>
      </c>
      <c r="B33" s="45" t="s">
        <v>23</v>
      </c>
      <c r="C33" s="45" t="s">
        <v>40</v>
      </c>
      <c r="D33" s="45" t="s">
        <v>20</v>
      </c>
      <c r="E33" s="45" t="s">
        <v>55</v>
      </c>
      <c r="F33" s="45" t="s">
        <v>7</v>
      </c>
      <c r="G33" s="41" t="s">
        <v>32</v>
      </c>
      <c r="H33" s="41" t="s">
        <v>27</v>
      </c>
      <c r="I33" s="41" t="s">
        <v>91</v>
      </c>
      <c r="J33" s="41"/>
      <c r="K33" s="41"/>
      <c r="L33" s="41"/>
      <c r="S33" s="3">
        <v>50</v>
      </c>
      <c r="T33" s="3">
        <v>32</v>
      </c>
      <c r="X33" s="3" t="str">
        <f>IF(adatok!F33="","",adatok!F33)</f>
        <v/>
      </c>
      <c r="Y33" s="3" t="str">
        <f>IF(adatok!G33="","",adatok!G33)</f>
        <v/>
      </c>
      <c r="AA33" s="3">
        <f>IF(adatok!C33="","",adatok!C33)</f>
        <v>50</v>
      </c>
      <c r="AB33" s="3">
        <f>IF(adatok!D33="","",adatok!D33)</f>
        <v>32</v>
      </c>
      <c r="AC33" s="3" t="s">
        <v>24</v>
      </c>
      <c r="AD33" s="3" t="s">
        <v>25</v>
      </c>
      <c r="AH33" s="3" t="str">
        <f>IF(adatok!M33="","",adatok!M33)</f>
        <v>Kékedi Emese</v>
      </c>
      <c r="AI33" s="3" t="str">
        <f>IF(adatok!N33="","",adatok!N33)</f>
        <v>D4</v>
      </c>
      <c r="AJ33" s="3" t="str">
        <f>IF(adatok!O33="","",adatok!O33)</f>
        <v>B</v>
      </c>
    </row>
    <row r="34" spans="1:36" ht="24.9" customHeight="1">
      <c r="A34" s="44" t="s">
        <v>188</v>
      </c>
      <c r="B34" s="45" t="s">
        <v>23</v>
      </c>
      <c r="C34" s="45" t="s">
        <v>40</v>
      </c>
      <c r="D34" s="45" t="s">
        <v>42</v>
      </c>
      <c r="E34" s="45" t="s">
        <v>59</v>
      </c>
      <c r="F34" s="45" t="s">
        <v>11</v>
      </c>
      <c r="G34" s="41" t="s">
        <v>32</v>
      </c>
      <c r="H34" s="41" t="s">
        <v>27</v>
      </c>
      <c r="I34" s="41" t="s">
        <v>96</v>
      </c>
      <c r="J34" s="41"/>
      <c r="K34" s="41"/>
      <c r="L34" s="41"/>
      <c r="S34" s="3">
        <v>50</v>
      </c>
      <c r="T34" s="3">
        <v>32</v>
      </c>
      <c r="X34" s="3" t="str">
        <f>IF(adatok!F34="","",adatok!F34)</f>
        <v/>
      </c>
      <c r="Y34" s="3" t="str">
        <f>IF(adatok!G34="","",adatok!G34)</f>
        <v/>
      </c>
      <c r="AA34" s="3">
        <f>IF(adatok!C34="","",adatok!C34)</f>
        <v>50</v>
      </c>
      <c r="AB34" s="3">
        <f>IF(adatok!D34="","",adatok!D34)</f>
        <v>33</v>
      </c>
      <c r="AH34" s="3" t="str">
        <f>IF(adatok!M34="","",adatok!M34)</f>
        <v>Thúróczi Gergely</v>
      </c>
      <c r="AI34" s="3" t="str">
        <f>IF(adatok!N34="","",adatok!N34)</f>
        <v>D4</v>
      </c>
      <c r="AJ34" s="3" t="str">
        <f>IF(adatok!O34="","",adatok!O34)</f>
        <v>B</v>
      </c>
    </row>
    <row r="35" spans="1:36" ht="24.9" customHeight="1">
      <c r="A35" s="44" t="s">
        <v>188</v>
      </c>
      <c r="B35" s="45" t="s">
        <v>22</v>
      </c>
      <c r="C35" s="45" t="s">
        <v>40</v>
      </c>
      <c r="D35" s="45" t="s">
        <v>20</v>
      </c>
      <c r="E35" s="45" t="s">
        <v>65</v>
      </c>
      <c r="F35" s="45" t="s">
        <v>7</v>
      </c>
      <c r="G35" s="41" t="s">
        <v>32</v>
      </c>
      <c r="H35" s="41" t="s">
        <v>26</v>
      </c>
      <c r="I35" s="41" t="s">
        <v>113</v>
      </c>
      <c r="J35" s="41"/>
      <c r="K35" s="41"/>
      <c r="L35" s="41"/>
      <c r="S35" s="3">
        <v>50</v>
      </c>
      <c r="T35" s="3">
        <v>32</v>
      </c>
      <c r="X35" s="3" t="str">
        <f>IF(adatok!F35="","",adatok!F35)</f>
        <v/>
      </c>
      <c r="Y35" s="3" t="str">
        <f>IF(adatok!G35="","",adatok!G35)</f>
        <v/>
      </c>
      <c r="AA35" s="3">
        <f>IF(adatok!C35="","",adatok!C35)</f>
        <v>50</v>
      </c>
      <c r="AB35" s="3">
        <f>IF(adatok!D35="","",adatok!D35)</f>
        <v>34</v>
      </c>
      <c r="AH35" s="3" t="str">
        <f>IF(adatok!M35="","",adatok!M35)</f>
        <v>Aczélné Liktor Katalin</v>
      </c>
      <c r="AI35" s="3" t="str">
        <f>IF(adatok!N35="","",adatok!N35)</f>
        <v>D4</v>
      </c>
      <c r="AJ35" s="3" t="str">
        <f>IF(adatok!O35="","",adatok!O35)</f>
        <v>B</v>
      </c>
    </row>
    <row r="36" spans="1:36" ht="24.9" customHeight="1">
      <c r="A36" s="44" t="s">
        <v>188</v>
      </c>
      <c r="B36" s="45" t="s">
        <v>23</v>
      </c>
      <c r="C36" s="45" t="s">
        <v>41</v>
      </c>
      <c r="D36" s="45" t="s">
        <v>20</v>
      </c>
      <c r="E36" s="45" t="s">
        <v>122</v>
      </c>
      <c r="F36" s="45" t="s">
        <v>7</v>
      </c>
      <c r="G36" s="41"/>
      <c r="H36" s="41" t="s">
        <v>27</v>
      </c>
      <c r="I36" s="41"/>
      <c r="J36" s="41"/>
      <c r="K36" s="41"/>
      <c r="L36" s="41"/>
      <c r="S36" s="3">
        <v>50</v>
      </c>
      <c r="T36" s="3">
        <v>32</v>
      </c>
      <c r="AA36" s="3">
        <f>IF(adatok!C36="","",adatok!C36)</f>
        <v>50</v>
      </c>
      <c r="AB36" s="3">
        <f>IF(adatok!D36="","",adatok!D36)</f>
        <v>35</v>
      </c>
      <c r="AH36" s="3" t="str">
        <f>IF(adatok!M36="","",adatok!M36)</f>
        <v>Fehér László</v>
      </c>
      <c r="AI36" s="3" t="str">
        <f>IF(adatok!N36="","",adatok!N36)</f>
        <v>D4</v>
      </c>
      <c r="AJ36" s="3" t="str">
        <f>IF(adatok!O36="","",adatok!O36)</f>
        <v>B</v>
      </c>
    </row>
    <row r="37" spans="1:36" ht="24.9" customHeight="1">
      <c r="A37" s="44" t="s">
        <v>188</v>
      </c>
      <c r="B37" s="45" t="s">
        <v>23</v>
      </c>
      <c r="C37" s="45" t="s">
        <v>41</v>
      </c>
      <c r="D37" s="45" t="s">
        <v>20</v>
      </c>
      <c r="E37" s="45" t="s">
        <v>122</v>
      </c>
      <c r="F37" s="45" t="s">
        <v>7</v>
      </c>
      <c r="G37" s="41"/>
      <c r="H37" s="41" t="s">
        <v>27</v>
      </c>
      <c r="I37" s="41"/>
      <c r="J37" s="41"/>
      <c r="K37" s="41"/>
      <c r="L37" s="41"/>
      <c r="S37" s="3">
        <v>50</v>
      </c>
      <c r="T37" s="3">
        <v>32</v>
      </c>
      <c r="AA37" s="3">
        <f>IF(adatok!C37="","",adatok!C37)</f>
        <v>50</v>
      </c>
      <c r="AB37" s="3">
        <f>IF(adatok!D37="","",adatok!D37)</f>
        <v>36</v>
      </c>
      <c r="AH37" s="3" t="str">
        <f>IF(adatok!M37="","",adatok!M37)</f>
        <v>Remák Dávid</v>
      </c>
      <c r="AI37" s="3" t="str">
        <f>IF(adatok!N37="","",adatok!N37)</f>
        <v>D4</v>
      </c>
      <c r="AJ37" s="3" t="str">
        <f>IF(adatok!O37="","",adatok!O37)</f>
        <v>B</v>
      </c>
    </row>
    <row r="38" spans="1:36" ht="24.9" customHeight="1">
      <c r="A38" s="44" t="s">
        <v>188</v>
      </c>
      <c r="B38" s="45" t="s">
        <v>23</v>
      </c>
      <c r="C38" s="45" t="s">
        <v>40</v>
      </c>
      <c r="D38" s="45" t="s">
        <v>20</v>
      </c>
      <c r="E38" s="45" t="s">
        <v>62</v>
      </c>
      <c r="F38" s="45" t="s">
        <v>7</v>
      </c>
      <c r="G38" s="41"/>
      <c r="H38" s="41" t="s">
        <v>27</v>
      </c>
      <c r="I38" s="41" t="s">
        <v>100</v>
      </c>
      <c r="J38" s="41"/>
      <c r="K38" s="41"/>
      <c r="L38" s="41"/>
      <c r="S38" s="3">
        <v>50</v>
      </c>
      <c r="T38" s="3">
        <v>32</v>
      </c>
      <c r="AA38" s="3">
        <f>IF(adatok!C38="","",adatok!C38)</f>
        <v>50</v>
      </c>
      <c r="AB38" s="3">
        <f>IF(adatok!D38="","",adatok!D38)</f>
        <v>37</v>
      </c>
      <c r="AH38" s="3" t="str">
        <f>IF(adatok!M38="","",adatok!M38)</f>
        <v>Benedek Flóra</v>
      </c>
      <c r="AI38" s="3" t="str">
        <f>IF(adatok!N38="","",adatok!N38)</f>
        <v>D4</v>
      </c>
      <c r="AJ38" s="3" t="str">
        <f>IF(adatok!O38="","",adatok!O38)</f>
        <v>B</v>
      </c>
    </row>
    <row r="39" spans="1:36" ht="24.9" customHeight="1">
      <c r="A39" s="44" t="s">
        <v>188</v>
      </c>
      <c r="B39" s="45" t="s">
        <v>22</v>
      </c>
      <c r="C39" s="45" t="s">
        <v>40</v>
      </c>
      <c r="D39" s="45" t="s">
        <v>20</v>
      </c>
      <c r="E39" s="45" t="s">
        <v>112</v>
      </c>
      <c r="F39" s="45" t="s">
        <v>8</v>
      </c>
      <c r="G39" s="41"/>
      <c r="H39" s="41" t="s">
        <v>26</v>
      </c>
      <c r="I39" s="41"/>
      <c r="J39" s="41"/>
      <c r="K39" s="41"/>
      <c r="L39" s="41"/>
      <c r="S39" s="3">
        <v>50</v>
      </c>
      <c r="T39" s="3">
        <v>32</v>
      </c>
      <c r="AA39" s="3">
        <f>IF(adatok!C39="","",adatok!C39)</f>
        <v>50</v>
      </c>
      <c r="AB39" s="3">
        <f>IF(adatok!D39="","",adatok!D39)</f>
        <v>38</v>
      </c>
      <c r="AH39" s="3" t="str">
        <f>IF(adatok!M39="","",adatok!M39)</f>
        <v>Lipták Angéla</v>
      </c>
      <c r="AI39" s="3" t="str">
        <f>IF(adatok!N39="","",adatok!N39)</f>
        <v>D4</v>
      </c>
      <c r="AJ39" s="3" t="str">
        <f>IF(adatok!O39="","",adatok!O39)</f>
        <v>B</v>
      </c>
    </row>
    <row r="40" spans="1:36" ht="24.9" customHeight="1">
      <c r="A40" s="44" t="s">
        <v>188</v>
      </c>
      <c r="B40" s="45" t="s">
        <v>22</v>
      </c>
      <c r="C40" s="45" t="s">
        <v>40</v>
      </c>
      <c r="D40" s="45" t="s">
        <v>20</v>
      </c>
      <c r="E40" s="45" t="s">
        <v>112</v>
      </c>
      <c r="F40" s="45" t="s">
        <v>8</v>
      </c>
      <c r="G40" s="41"/>
      <c r="H40" s="41" t="s">
        <v>26</v>
      </c>
      <c r="I40" s="41"/>
      <c r="J40" s="41"/>
      <c r="K40" s="41"/>
      <c r="L40" s="41"/>
      <c r="S40" s="3">
        <v>50</v>
      </c>
      <c r="T40" s="3">
        <v>32</v>
      </c>
      <c r="AA40" s="3">
        <f>IF(adatok!C40="","",adatok!C40)</f>
        <v>50</v>
      </c>
      <c r="AB40" s="3">
        <f>IF(adatok!D40="","",adatok!D40)</f>
        <v>39</v>
      </c>
      <c r="AH40" s="3" t="str">
        <f>IF(adatok!M40="","",adatok!M40)</f>
        <v>Simai József</v>
      </c>
      <c r="AI40" s="3" t="str">
        <f>IF(adatok!N40="","",adatok!N40)</f>
        <v>D4</v>
      </c>
      <c r="AJ40" s="3" t="str">
        <f>IF(adatok!O40="","",adatok!O40)</f>
        <v>C</v>
      </c>
    </row>
    <row r="41" spans="1:36" ht="24.9" customHeight="1">
      <c r="A41" s="44" t="s">
        <v>188</v>
      </c>
      <c r="B41" s="45" t="s">
        <v>22</v>
      </c>
      <c r="C41" s="45" t="s">
        <v>40</v>
      </c>
      <c r="D41" s="45" t="s">
        <v>20</v>
      </c>
      <c r="E41" s="45" t="s">
        <v>112</v>
      </c>
      <c r="F41" s="45" t="s">
        <v>8</v>
      </c>
      <c r="G41" s="41"/>
      <c r="H41" s="41" t="s">
        <v>26</v>
      </c>
      <c r="I41" s="41"/>
      <c r="J41" s="41"/>
      <c r="K41" s="41"/>
      <c r="L41" s="41"/>
      <c r="S41" s="3">
        <v>50</v>
      </c>
      <c r="T41" s="3">
        <v>32</v>
      </c>
      <c r="AA41" s="3">
        <f>IF(adatok!C41="","",adatok!C41)</f>
        <v>50</v>
      </c>
      <c r="AB41" s="3">
        <f>IF(adatok!D41="","",adatok!D41)</f>
        <v>40</v>
      </c>
      <c r="AH41" s="3" t="str">
        <f>IF(adatok!M41="","",adatok!M41)</f>
        <v>Pásztor Zsolt Jenő</v>
      </c>
      <c r="AI41" s="3" t="str">
        <f>IF(adatok!N41="","",adatok!N41)</f>
        <v>D4</v>
      </c>
      <c r="AJ41" s="3" t="str">
        <f>IF(adatok!O41="","",adatok!O41)</f>
        <v>C</v>
      </c>
    </row>
    <row r="42" spans="1:36" ht="24.9" customHeight="1">
      <c r="A42" s="44" t="s">
        <v>189</v>
      </c>
      <c r="B42" s="45" t="s">
        <v>22</v>
      </c>
      <c r="C42" s="45" t="s">
        <v>40</v>
      </c>
      <c r="D42" s="45" t="s">
        <v>42</v>
      </c>
      <c r="E42" s="45" t="s">
        <v>115</v>
      </c>
      <c r="F42" s="45" t="s">
        <v>7</v>
      </c>
      <c r="G42" s="41" t="s">
        <v>32</v>
      </c>
      <c r="H42" s="41" t="s">
        <v>25</v>
      </c>
      <c r="I42" s="41"/>
      <c r="J42" s="41"/>
      <c r="K42" s="41"/>
      <c r="L42" s="41"/>
      <c r="S42" s="3">
        <v>50</v>
      </c>
      <c r="T42" s="3">
        <v>32</v>
      </c>
      <c r="AA42" s="3">
        <f>IF(adatok!C42="","",adatok!C42)</f>
        <v>50</v>
      </c>
      <c r="AB42" s="3">
        <f>IF(adatok!D42="","",adatok!D42)</f>
        <v>41</v>
      </c>
      <c r="AH42" s="3" t="str">
        <f>IF(adatok!M42="","",adatok!M42)</f>
        <v>Bódi Gábor</v>
      </c>
      <c r="AI42" s="3" t="str">
        <f>IF(adatok!N42="","",adatok!N42)</f>
        <v>D4</v>
      </c>
      <c r="AJ42" s="3" t="str">
        <f>IF(adatok!O42="","",adatok!O42)</f>
        <v>C</v>
      </c>
    </row>
    <row r="43" spans="1:36" ht="24.9" customHeight="1">
      <c r="A43" s="44" t="s">
        <v>189</v>
      </c>
      <c r="B43" s="45" t="s">
        <v>23</v>
      </c>
      <c r="C43" s="45" t="s">
        <v>40</v>
      </c>
      <c r="D43" s="45" t="s">
        <v>20</v>
      </c>
      <c r="E43" s="45" t="s">
        <v>175</v>
      </c>
      <c r="F43" s="45" t="s">
        <v>21</v>
      </c>
      <c r="G43" s="41"/>
      <c r="H43" s="41" t="s">
        <v>24</v>
      </c>
      <c r="I43" s="41"/>
      <c r="J43" s="41"/>
      <c r="K43" s="41"/>
      <c r="L43" s="41"/>
      <c r="S43" s="3">
        <v>50</v>
      </c>
      <c r="T43" s="3">
        <v>32</v>
      </c>
      <c r="AA43" s="3">
        <f>IF(adatok!C43="","",adatok!C43)</f>
        <v>50</v>
      </c>
      <c r="AB43" s="3">
        <f>IF(adatok!D43="","",adatok!D43)</f>
        <v>42</v>
      </c>
      <c r="AH43" s="3" t="str">
        <f>IF(adatok!M43="","",adatok!M43)</f>
        <v>Budai Gábor</v>
      </c>
      <c r="AI43" s="3" t="str">
        <f>IF(adatok!N43="","",adatok!N43)</f>
        <v>D4</v>
      </c>
      <c r="AJ43" s="3" t="str">
        <f>IF(adatok!O43="","",adatok!O43)</f>
        <v>C</v>
      </c>
    </row>
    <row r="44" spans="1:36" ht="24.9" customHeight="1">
      <c r="A44" s="44" t="s">
        <v>189</v>
      </c>
      <c r="B44" s="45" t="s">
        <v>23</v>
      </c>
      <c r="C44" s="45" t="s">
        <v>40</v>
      </c>
      <c r="D44" s="45" t="s">
        <v>20</v>
      </c>
      <c r="E44" s="45"/>
      <c r="F44" s="45" t="s">
        <v>21</v>
      </c>
      <c r="G44" s="41"/>
      <c r="H44" s="41" t="s">
        <v>24</v>
      </c>
      <c r="I44" s="41"/>
      <c r="J44" s="41"/>
      <c r="K44" s="41"/>
      <c r="L44" s="41"/>
      <c r="S44" s="3">
        <v>50</v>
      </c>
      <c r="T44" s="3">
        <v>32</v>
      </c>
      <c r="AA44" s="3">
        <f>IF(adatok!C44="","",adatok!C44)</f>
        <v>50</v>
      </c>
      <c r="AB44" s="3">
        <f>IF(adatok!D44="","",adatok!D44)</f>
        <v>43</v>
      </c>
      <c r="AH44" s="3" t="str">
        <f>IF(adatok!M44="","",adatok!M44)</f>
        <v>Tóth Mária</v>
      </c>
      <c r="AI44" s="3" t="str">
        <f>IF(adatok!N44="","",adatok!N44)</f>
        <v>D4</v>
      </c>
      <c r="AJ44" s="3" t="str">
        <f>IF(adatok!O44="","",adatok!O44)</f>
        <v>C</v>
      </c>
    </row>
    <row r="45" spans="1:36" ht="24.9" customHeight="1">
      <c r="A45" s="44" t="s">
        <v>189</v>
      </c>
      <c r="B45" s="45" t="s">
        <v>22</v>
      </c>
      <c r="C45" s="45" t="s">
        <v>40</v>
      </c>
      <c r="D45" s="45" t="s">
        <v>20</v>
      </c>
      <c r="E45" s="45" t="s">
        <v>112</v>
      </c>
      <c r="F45" s="45" t="s">
        <v>8</v>
      </c>
      <c r="G45" s="41"/>
      <c r="H45" s="41" t="s">
        <v>25</v>
      </c>
      <c r="I45" s="41"/>
      <c r="J45" s="41"/>
      <c r="K45" s="41"/>
      <c r="L45" s="41"/>
      <c r="S45" s="3">
        <v>50</v>
      </c>
      <c r="T45" s="3">
        <v>32</v>
      </c>
      <c r="AA45" s="3">
        <f>IF(adatok!C45="","",adatok!C45)</f>
        <v>50</v>
      </c>
      <c r="AB45" s="3">
        <f>IF(adatok!D45="","",adatok!D45)</f>
        <v>44</v>
      </c>
      <c r="AH45" s="3" t="str">
        <f>IF(adatok!M45="","",adatok!M45)</f>
        <v>Jurcsisin Béla</v>
      </c>
      <c r="AI45" s="3" t="str">
        <f>IF(adatok!N45="","",adatok!N45)</f>
        <v>D4</v>
      </c>
      <c r="AJ45" s="3" t="str">
        <f>IF(adatok!O45="","",adatok!O45)</f>
        <v>C</v>
      </c>
    </row>
    <row r="46" spans="1:36" ht="24.9" customHeight="1">
      <c r="A46" s="44" t="s">
        <v>190</v>
      </c>
      <c r="B46" s="45" t="s">
        <v>23</v>
      </c>
      <c r="C46" s="45" t="s">
        <v>41</v>
      </c>
      <c r="D46" s="45" t="s">
        <v>35</v>
      </c>
      <c r="E46" s="45" t="s">
        <v>139</v>
      </c>
      <c r="F46" s="45" t="s">
        <v>7</v>
      </c>
      <c r="G46" s="41" t="s">
        <v>32</v>
      </c>
      <c r="H46" s="41" t="s">
        <v>25</v>
      </c>
      <c r="I46" s="41"/>
      <c r="J46" s="41"/>
      <c r="K46" s="41"/>
      <c r="L46" s="41"/>
      <c r="S46" s="3">
        <v>50</v>
      </c>
      <c r="T46" s="3">
        <v>32</v>
      </c>
      <c r="AA46" s="3">
        <f>IF(adatok!C46="","",adatok!C46)</f>
        <v>50</v>
      </c>
      <c r="AB46" s="3">
        <f>IF(adatok!D46="","",adatok!D46)</f>
        <v>45</v>
      </c>
      <c r="AH46" s="3" t="str">
        <f>IF(adatok!M46="","",adatok!M46)</f>
        <v>Varga Istvánné</v>
      </c>
      <c r="AI46" s="3" t="str">
        <f>IF(adatok!N46="","",adatok!N46)</f>
        <v>D4</v>
      </c>
      <c r="AJ46" s="3" t="str">
        <f>IF(adatok!O46="","",adatok!O46)</f>
        <v>C</v>
      </c>
    </row>
    <row r="47" spans="1:36" ht="24.9" customHeight="1">
      <c r="A47" s="44" t="s">
        <v>190</v>
      </c>
      <c r="B47" s="45" t="s">
        <v>23</v>
      </c>
      <c r="C47" s="45" t="s">
        <v>40</v>
      </c>
      <c r="D47" s="45" t="s">
        <v>20</v>
      </c>
      <c r="E47" s="45" t="s">
        <v>92</v>
      </c>
      <c r="F47" s="45" t="s">
        <v>7</v>
      </c>
      <c r="G47" s="41" t="s">
        <v>32</v>
      </c>
      <c r="H47" s="41" t="s">
        <v>25</v>
      </c>
      <c r="I47" s="41"/>
      <c r="J47" s="41"/>
      <c r="K47" s="41"/>
      <c r="L47" s="41"/>
      <c r="S47" s="3">
        <v>50</v>
      </c>
      <c r="T47" s="3">
        <v>32</v>
      </c>
      <c r="AA47" s="3">
        <f>IF(adatok!C47="","",adatok!C47)</f>
        <v>50</v>
      </c>
      <c r="AB47" s="3">
        <f>IF(adatok!D47="","",adatok!D47)</f>
        <v>46</v>
      </c>
      <c r="AH47" s="3" t="str">
        <f>IF(adatok!M47="","",adatok!M47)</f>
        <v>Hornyák Kitti</v>
      </c>
      <c r="AI47" s="3" t="str">
        <f>IF(adatok!N47="","",adatok!N47)</f>
        <v>D4</v>
      </c>
      <c r="AJ47" s="3" t="str">
        <f>IF(adatok!O47="","",adatok!O47)</f>
        <v>C</v>
      </c>
    </row>
    <row r="48" spans="1:36" ht="24.9" customHeight="1">
      <c r="A48" s="44" t="s">
        <v>190</v>
      </c>
      <c r="B48" s="45" t="s">
        <v>23</v>
      </c>
      <c r="C48" s="45" t="s">
        <v>40</v>
      </c>
      <c r="D48" s="45" t="s">
        <v>20</v>
      </c>
      <c r="E48" s="45" t="s">
        <v>175</v>
      </c>
      <c r="F48" s="45" t="s">
        <v>21</v>
      </c>
      <c r="G48" s="41"/>
      <c r="H48" s="41" t="s">
        <v>25</v>
      </c>
      <c r="I48" s="41"/>
      <c r="J48" s="41"/>
      <c r="K48" s="41"/>
      <c r="L48" s="41"/>
      <c r="S48" s="3">
        <v>50</v>
      </c>
      <c r="T48" s="3">
        <v>32</v>
      </c>
      <c r="AA48" s="3">
        <f>IF(adatok!C48="","",adatok!C48)</f>
        <v>50</v>
      </c>
      <c r="AB48" s="3">
        <f>IF(adatok!D48="","",adatok!D48)</f>
        <v>47</v>
      </c>
      <c r="AH48" s="3" t="str">
        <f>IF(adatok!M48="","",adatok!M48)</f>
        <v>Horváth Irén</v>
      </c>
      <c r="AI48" s="3" t="str">
        <f>IF(adatok!N48="","",adatok!N48)</f>
        <v>D4</v>
      </c>
      <c r="AJ48" s="3" t="str">
        <f>IF(adatok!O48="","",adatok!O48)</f>
        <v>C</v>
      </c>
    </row>
    <row r="49" spans="1:36" ht="24.9" customHeight="1">
      <c r="A49" s="44" t="s">
        <v>190</v>
      </c>
      <c r="B49" s="45" t="s">
        <v>23</v>
      </c>
      <c r="C49" s="45" t="s">
        <v>40</v>
      </c>
      <c r="D49" s="45" t="s">
        <v>20</v>
      </c>
      <c r="E49" s="45"/>
      <c r="F49" s="45" t="s">
        <v>21</v>
      </c>
      <c r="G49" s="41"/>
      <c r="H49" s="41" t="s">
        <v>25</v>
      </c>
      <c r="I49" s="41"/>
      <c r="J49" s="41"/>
      <c r="K49" s="41"/>
      <c r="L49" s="41"/>
      <c r="S49" s="3">
        <v>50</v>
      </c>
      <c r="T49" s="3">
        <v>32</v>
      </c>
      <c r="AA49" s="3">
        <f>IF(adatok!C49="","",adatok!C49)</f>
        <v>50</v>
      </c>
      <c r="AB49" s="3">
        <f>IF(adatok!D49="","",adatok!D49)</f>
        <v>48</v>
      </c>
      <c r="AH49" s="3" t="str">
        <f>IF(adatok!M49="","",adatok!M49)</f>
        <v>Vinczéné Nemes Éva Lídia</v>
      </c>
      <c r="AI49" s="3" t="str">
        <f>IF(adatok!N49="","",adatok!N49)</f>
        <v>D4</v>
      </c>
      <c r="AJ49" s="3" t="str">
        <f>IF(adatok!O49="","",adatok!O49)</f>
        <v>C</v>
      </c>
    </row>
    <row r="50" spans="1:36" ht="24.9" customHeight="1">
      <c r="A50" s="44" t="s">
        <v>191</v>
      </c>
      <c r="B50" s="45" t="s">
        <v>22</v>
      </c>
      <c r="C50" s="45" t="s">
        <v>40</v>
      </c>
      <c r="D50" s="45" t="s">
        <v>18</v>
      </c>
      <c r="E50" s="45" t="s">
        <v>44</v>
      </c>
      <c r="F50" s="45" t="s">
        <v>7</v>
      </c>
      <c r="G50" s="41" t="s">
        <v>32</v>
      </c>
      <c r="H50" s="41" t="s">
        <v>43</v>
      </c>
      <c r="I50" s="41" t="s">
        <v>82</v>
      </c>
      <c r="J50" s="41"/>
      <c r="K50" s="41"/>
      <c r="L50" s="41"/>
      <c r="S50" s="3">
        <v>50</v>
      </c>
      <c r="T50" s="3">
        <v>32</v>
      </c>
      <c r="AA50" s="3">
        <f>IF(adatok!C50="","",adatok!C50)</f>
        <v>50</v>
      </c>
      <c r="AB50" s="3">
        <f>IF(adatok!D50="","",adatok!D50)</f>
        <v>49</v>
      </c>
      <c r="AH50" s="3" t="str">
        <f>IF(adatok!M50="","",adatok!M50)</f>
        <v>Kovácsné Fábián Brigitta</v>
      </c>
      <c r="AI50" s="3" t="str">
        <f>IF(adatok!N50="","",adatok!N50)</f>
        <v>D4</v>
      </c>
      <c r="AJ50" s="3" t="str">
        <f>IF(adatok!O50="","",adatok!O50)</f>
        <v>C</v>
      </c>
    </row>
    <row r="51" spans="1:36" ht="24.9" customHeight="1">
      <c r="A51" s="44" t="s">
        <v>191</v>
      </c>
      <c r="B51" s="45" t="s">
        <v>22</v>
      </c>
      <c r="C51" s="45" t="s">
        <v>40</v>
      </c>
      <c r="D51" s="45" t="s">
        <v>38</v>
      </c>
      <c r="E51" s="45" t="s">
        <v>57</v>
      </c>
      <c r="F51" s="45" t="s">
        <v>7</v>
      </c>
      <c r="G51" s="41" t="s">
        <v>32</v>
      </c>
      <c r="H51" s="41" t="s">
        <v>43</v>
      </c>
      <c r="I51" s="41" t="s">
        <v>84</v>
      </c>
      <c r="J51" s="41"/>
      <c r="K51" s="41"/>
      <c r="L51" s="41"/>
      <c r="S51" s="3">
        <v>50</v>
      </c>
      <c r="T51" s="3">
        <v>32</v>
      </c>
      <c r="AA51" s="3">
        <f>IF(adatok!C51="","",adatok!C51)</f>
        <v>50</v>
      </c>
      <c r="AB51" s="3">
        <f>IF(adatok!D51="","",adatok!D51)</f>
        <v>50</v>
      </c>
      <c r="AH51" s="3" t="str">
        <f>IF(adatok!M51="","",adatok!M51)</f>
        <v>Szórátiné Tóth Klára</v>
      </c>
      <c r="AI51" s="3" t="str">
        <f>IF(adatok!N51="","",adatok!N51)</f>
        <v>D4</v>
      </c>
      <c r="AJ51" s="3" t="str">
        <f>IF(adatok!O51="","",adatok!O51)</f>
        <v>C</v>
      </c>
    </row>
    <row r="52" spans="1:36" ht="24.9" customHeight="1">
      <c r="A52" s="44" t="s">
        <v>191</v>
      </c>
      <c r="B52" s="45" t="s">
        <v>22</v>
      </c>
      <c r="C52" s="45" t="s">
        <v>40</v>
      </c>
      <c r="D52" s="45" t="s">
        <v>38</v>
      </c>
      <c r="E52" s="45" t="s">
        <v>58</v>
      </c>
      <c r="F52" s="45" t="s">
        <v>7</v>
      </c>
      <c r="G52" s="41" t="s">
        <v>32</v>
      </c>
      <c r="H52" s="41" t="s">
        <v>43</v>
      </c>
      <c r="I52" s="41" t="s">
        <v>85</v>
      </c>
      <c r="J52" s="41"/>
      <c r="K52" s="41"/>
      <c r="L52" s="41"/>
      <c r="S52" s="3">
        <v>50</v>
      </c>
      <c r="T52" s="3">
        <v>32</v>
      </c>
      <c r="AA52" s="3">
        <f>IF(adatok!C52="","",adatok!C52)</f>
        <v>50</v>
      </c>
      <c r="AB52" s="3">
        <f>IF(adatok!D52="","",adatok!D52)</f>
        <v>51</v>
      </c>
      <c r="AH52" s="3" t="str">
        <f>IF(adatok!M52="","",adatok!M52)</f>
        <v>Mihalik Zsuzsanna</v>
      </c>
      <c r="AI52" s="3" t="str">
        <f>IF(adatok!N52="","",adatok!N52)</f>
        <v>D4</v>
      </c>
      <c r="AJ52" s="3" t="str">
        <f>IF(adatok!O52="","",adatok!O52)</f>
        <v>C</v>
      </c>
    </row>
    <row r="53" spans="1:36" ht="24.9" customHeight="1">
      <c r="A53" s="44" t="s">
        <v>191</v>
      </c>
      <c r="B53" s="45" t="s">
        <v>23</v>
      </c>
      <c r="C53" s="45" t="s">
        <v>40</v>
      </c>
      <c r="D53" s="45" t="s">
        <v>18</v>
      </c>
      <c r="E53" s="45" t="s">
        <v>63</v>
      </c>
      <c r="F53" s="45" t="s">
        <v>7</v>
      </c>
      <c r="G53" s="41" t="s">
        <v>32</v>
      </c>
      <c r="H53" s="41" t="s">
        <v>26</v>
      </c>
      <c r="I53" s="41" t="s">
        <v>101</v>
      </c>
      <c r="J53" s="41"/>
      <c r="K53" s="41"/>
      <c r="L53" s="41"/>
      <c r="S53" s="3">
        <v>50</v>
      </c>
      <c r="T53" s="3">
        <v>32</v>
      </c>
      <c r="AA53" s="3">
        <f>IF(adatok!C53="","",adatok!C53)</f>
        <v>50</v>
      </c>
      <c r="AB53" s="3">
        <f>IF(adatok!D53="","",adatok!D53)</f>
        <v>52</v>
      </c>
      <c r="AH53" s="3" t="str">
        <f>IF(adatok!M53="","",adatok!M53)</f>
        <v>Hideg Tamás</v>
      </c>
      <c r="AI53" s="3" t="str">
        <f>IF(adatok!N53="","",adatok!N53)</f>
        <v>D4</v>
      </c>
      <c r="AJ53" s="3" t="str">
        <f>IF(adatok!O53="","",adatok!O53)</f>
        <v>C</v>
      </c>
    </row>
    <row r="54" spans="1:36" ht="24.9" customHeight="1">
      <c r="A54" s="44" t="s">
        <v>191</v>
      </c>
      <c r="B54" s="45" t="s">
        <v>23</v>
      </c>
      <c r="C54" s="45" t="s">
        <v>40</v>
      </c>
      <c r="D54" s="45" t="s">
        <v>38</v>
      </c>
      <c r="E54" s="45" t="s">
        <v>74</v>
      </c>
      <c r="F54" s="45" t="s">
        <v>7</v>
      </c>
      <c r="G54" s="41" t="s">
        <v>32</v>
      </c>
      <c r="H54" s="41" t="s">
        <v>26</v>
      </c>
      <c r="I54" s="41" t="s">
        <v>110</v>
      </c>
      <c r="J54" s="41"/>
      <c r="K54" s="41"/>
      <c r="L54" s="41"/>
      <c r="S54" s="3">
        <v>50</v>
      </c>
      <c r="T54" s="3">
        <v>32</v>
      </c>
      <c r="AH54" s="3" t="str">
        <f>IF(adatok!M54="","",adatok!M54)</f>
        <v>Szél Gergő</v>
      </c>
      <c r="AI54" s="3" t="str">
        <f>IF(adatok!N54="","",adatok!N54)</f>
        <v>D4</v>
      </c>
      <c r="AJ54" s="3" t="str">
        <f>IF(adatok!O54="","",adatok!O54)</f>
        <v>C</v>
      </c>
    </row>
    <row r="55" spans="1:36" ht="24.9" customHeight="1">
      <c r="A55" s="44" t="s">
        <v>191</v>
      </c>
      <c r="B55" s="45" t="s">
        <v>22</v>
      </c>
      <c r="C55" s="45" t="s">
        <v>41</v>
      </c>
      <c r="D55" s="45" t="s">
        <v>20</v>
      </c>
      <c r="E55" s="45" t="s">
        <v>128</v>
      </c>
      <c r="F55" s="45" t="s">
        <v>7</v>
      </c>
      <c r="G55" s="41"/>
      <c r="H55" s="41" t="s">
        <v>43</v>
      </c>
      <c r="I55" s="41"/>
      <c r="J55" s="41"/>
      <c r="K55" s="41"/>
      <c r="L55" s="41"/>
      <c r="S55" s="3">
        <v>50</v>
      </c>
      <c r="T55" s="3">
        <v>32</v>
      </c>
      <c r="AH55" s="3" t="str">
        <f>IF(adatok!M55="","",adatok!M55)</f>
        <v>Kovács László</v>
      </c>
      <c r="AI55" s="3" t="str">
        <f>IF(adatok!N55="","",adatok!N55)</f>
        <v>D4</v>
      </c>
      <c r="AJ55" s="3" t="str">
        <f>IF(adatok!O55="","",adatok!O55)</f>
        <v>C</v>
      </c>
    </row>
    <row r="56" spans="1:36" ht="24.9" customHeight="1">
      <c r="A56" s="44" t="s">
        <v>191</v>
      </c>
      <c r="B56" s="45" t="s">
        <v>23</v>
      </c>
      <c r="C56" s="45" t="s">
        <v>41</v>
      </c>
      <c r="D56" s="45" t="s">
        <v>20</v>
      </c>
      <c r="E56" s="45">
        <v>1</v>
      </c>
      <c r="F56" s="45" t="s">
        <v>7</v>
      </c>
      <c r="G56" s="41"/>
      <c r="H56" s="41" t="s">
        <v>26</v>
      </c>
      <c r="I56" s="41"/>
      <c r="J56" s="41"/>
      <c r="K56" s="41"/>
      <c r="L56" s="41"/>
      <c r="S56" s="3">
        <v>50</v>
      </c>
      <c r="T56" s="3">
        <v>32</v>
      </c>
      <c r="AH56" s="3" t="str">
        <f>IF(adatok!M56="","",adatok!M56)</f>
        <v>Pintér Sándor</v>
      </c>
      <c r="AI56" s="3" t="str">
        <f>IF(adatok!N56="","",adatok!N56)</f>
        <v>D4</v>
      </c>
      <c r="AJ56" s="3" t="str">
        <f>IF(adatok!O56="","",adatok!O56)</f>
        <v>C</v>
      </c>
    </row>
    <row r="57" spans="1:36" ht="24.9" customHeight="1">
      <c r="A57" s="44" t="s">
        <v>191</v>
      </c>
      <c r="B57" s="45" t="s">
        <v>23</v>
      </c>
      <c r="C57" s="45" t="s">
        <v>40</v>
      </c>
      <c r="D57" s="45" t="s">
        <v>20</v>
      </c>
      <c r="E57" s="45" t="s">
        <v>66</v>
      </c>
      <c r="F57" s="45" t="s">
        <v>7</v>
      </c>
      <c r="G57" s="41"/>
      <c r="H57" s="41" t="s">
        <v>26</v>
      </c>
      <c r="I57" s="41"/>
      <c r="J57" s="41"/>
      <c r="K57" s="41"/>
      <c r="L57" s="41"/>
      <c r="S57" s="3">
        <v>50</v>
      </c>
      <c r="T57" s="3">
        <v>32</v>
      </c>
      <c r="AH57" s="3" t="str">
        <f>IF(adatok!M57="","",adatok!M57)</f>
        <v>Lakatos Béláné</v>
      </c>
      <c r="AI57" s="3" t="str">
        <f>IF(adatok!N57="","",adatok!N57)</f>
        <v>D4</v>
      </c>
      <c r="AJ57" s="3" t="str">
        <f>IF(adatok!O57="","",adatok!O57)</f>
        <v>C</v>
      </c>
    </row>
    <row r="58" spans="1:36" ht="24.9" customHeight="1">
      <c r="A58" s="44" t="s">
        <v>191</v>
      </c>
      <c r="B58" s="45" t="s">
        <v>23</v>
      </c>
      <c r="C58" s="45" t="s">
        <v>40</v>
      </c>
      <c r="D58" s="45" t="s">
        <v>20</v>
      </c>
      <c r="E58" s="45" t="s">
        <v>66</v>
      </c>
      <c r="F58" s="45" t="s">
        <v>7</v>
      </c>
      <c r="G58" s="41"/>
      <c r="H58" s="41" t="s">
        <v>26</v>
      </c>
      <c r="I58" s="41"/>
      <c r="J58" s="41"/>
      <c r="K58" s="41"/>
      <c r="L58" s="41"/>
      <c r="S58" s="3">
        <v>50</v>
      </c>
      <c r="T58" s="3">
        <v>32</v>
      </c>
      <c r="AH58" s="3" t="str">
        <f>IF(adatok!M58="","",adatok!M58)</f>
        <v>Kereskényi Pál</v>
      </c>
      <c r="AI58" s="3" t="str">
        <f>IF(adatok!N58="","",adatok!N58)</f>
        <v>D4</v>
      </c>
      <c r="AJ58" s="3" t="str">
        <f>IF(adatok!O58="","",adatok!O58)</f>
        <v>C</v>
      </c>
    </row>
    <row r="59" spans="1:36" ht="24.9" customHeight="1">
      <c r="A59" s="44" t="s">
        <v>191</v>
      </c>
      <c r="B59" s="45" t="s">
        <v>23</v>
      </c>
      <c r="C59" s="45" t="s">
        <v>40</v>
      </c>
      <c r="D59" s="45" t="s">
        <v>36</v>
      </c>
      <c r="E59" s="45" t="s">
        <v>66</v>
      </c>
      <c r="F59" s="45" t="s">
        <v>7</v>
      </c>
      <c r="G59" s="41"/>
      <c r="H59" s="41" t="s">
        <v>26</v>
      </c>
      <c r="I59" s="41"/>
      <c r="J59" s="41"/>
      <c r="K59" s="41"/>
      <c r="L59" s="41"/>
      <c r="S59" s="3">
        <v>50</v>
      </c>
      <c r="T59" s="3">
        <v>32</v>
      </c>
      <c r="AH59" s="3" t="str">
        <f>IF(adatok!M59="","",adatok!M59)</f>
        <v>Mérő Péter</v>
      </c>
      <c r="AI59" s="3" t="str">
        <f>IF(adatok!N59="","",adatok!N59)</f>
        <v>D4</v>
      </c>
      <c r="AJ59" s="3" t="str">
        <f>IF(adatok!O59="","",adatok!O59)</f>
        <v>D</v>
      </c>
    </row>
    <row r="60" spans="1:36" ht="24.9" customHeight="1">
      <c r="A60" s="44" t="s">
        <v>191</v>
      </c>
      <c r="B60" s="45" t="s">
        <v>23</v>
      </c>
      <c r="C60" s="45" t="s">
        <v>40</v>
      </c>
      <c r="D60" s="45" t="s">
        <v>20</v>
      </c>
      <c r="E60" s="45" t="s">
        <v>68</v>
      </c>
      <c r="F60" s="45" t="s">
        <v>7</v>
      </c>
      <c r="G60" s="41"/>
      <c r="H60" s="41" t="s">
        <v>26</v>
      </c>
      <c r="I60" s="41"/>
      <c r="J60" s="41"/>
      <c r="K60" s="41"/>
      <c r="L60" s="41"/>
      <c r="S60" s="3">
        <v>50</v>
      </c>
      <c r="T60" s="3">
        <v>32</v>
      </c>
      <c r="AH60" s="3" t="str">
        <f>IF(adatok!M60="","",adatok!M60)</f>
        <v>Márton Norbert</v>
      </c>
      <c r="AI60" s="3" t="str">
        <f>IF(adatok!N60="","",adatok!N60)</f>
        <v>D4</v>
      </c>
      <c r="AJ60" s="3" t="str">
        <f>IF(adatok!O60="","",adatok!O60)</f>
        <v>D</v>
      </c>
    </row>
    <row r="61" spans="1:36" ht="24.9" customHeight="1">
      <c r="A61" s="44" t="s">
        <v>191</v>
      </c>
      <c r="B61" s="45" t="s">
        <v>22</v>
      </c>
      <c r="C61" s="45" t="s">
        <v>40</v>
      </c>
      <c r="D61" s="45" t="s">
        <v>42</v>
      </c>
      <c r="E61" s="45" t="s">
        <v>59</v>
      </c>
      <c r="F61" s="45" t="s">
        <v>11</v>
      </c>
      <c r="G61" s="41"/>
      <c r="H61" s="41" t="s">
        <v>43</v>
      </c>
      <c r="I61" s="41" t="s">
        <v>94</v>
      </c>
      <c r="J61" s="41"/>
      <c r="K61" s="41"/>
      <c r="L61" s="41"/>
      <c r="S61" s="3">
        <v>50</v>
      </c>
      <c r="T61" s="3">
        <v>32</v>
      </c>
      <c r="AH61" s="3" t="str">
        <f>IF(adatok!M61="","",adatok!M61)</f>
        <v>Pente Istvánné</v>
      </c>
      <c r="AI61" s="3" t="str">
        <f>IF(adatok!N61="","",adatok!N61)</f>
        <v>D4</v>
      </c>
      <c r="AJ61" s="3" t="str">
        <f>IF(adatok!O61="","",adatok!O61)</f>
        <v>D</v>
      </c>
    </row>
    <row r="62" spans="1:36" ht="24.9" customHeight="1">
      <c r="A62" s="44" t="s">
        <v>191</v>
      </c>
      <c r="B62" s="45" t="s">
        <v>22</v>
      </c>
      <c r="C62" s="45" t="s">
        <v>40</v>
      </c>
      <c r="D62" s="45" t="s">
        <v>42</v>
      </c>
      <c r="E62" s="45" t="s">
        <v>59</v>
      </c>
      <c r="F62" s="45" t="s">
        <v>11</v>
      </c>
      <c r="G62" s="41"/>
      <c r="H62" s="41" t="s">
        <v>43</v>
      </c>
      <c r="I62" s="41"/>
      <c r="J62" s="41"/>
      <c r="K62" s="41"/>
      <c r="L62" s="41"/>
      <c r="S62" s="3">
        <v>50</v>
      </c>
      <c r="T62" s="3">
        <v>32</v>
      </c>
      <c r="AH62" s="3" t="str">
        <f>IF(adatok!M62="","",adatok!M62)</f>
        <v>Pocsai Nóra</v>
      </c>
      <c r="AI62" s="3" t="str">
        <f>IF(adatok!N62="","",adatok!N62)</f>
        <v>D4</v>
      </c>
      <c r="AJ62" s="3" t="str">
        <f>IF(adatok!O62="","",adatok!O62)</f>
        <v>D</v>
      </c>
    </row>
    <row r="63" spans="1:36" ht="24.9" customHeight="1">
      <c r="A63" s="44" t="s">
        <v>191</v>
      </c>
      <c r="B63" s="45" t="s">
        <v>22</v>
      </c>
      <c r="C63" s="45" t="s">
        <v>40</v>
      </c>
      <c r="D63" s="45" t="s">
        <v>42</v>
      </c>
      <c r="E63" s="45" t="s">
        <v>59</v>
      </c>
      <c r="F63" s="45" t="s">
        <v>11</v>
      </c>
      <c r="G63" s="41"/>
      <c r="H63" s="41" t="s">
        <v>43</v>
      </c>
      <c r="I63" s="41"/>
      <c r="J63" s="41"/>
      <c r="K63" s="41"/>
      <c r="L63" s="41"/>
      <c r="S63" s="3">
        <v>50</v>
      </c>
      <c r="T63" s="3">
        <v>32</v>
      </c>
      <c r="AH63" s="3" t="str">
        <f>IF(adatok!M63="","",adatok!M63)</f>
        <v>Kundrák Zsuzsanna</v>
      </c>
      <c r="AI63" s="3" t="str">
        <f>IF(adatok!N63="","",adatok!N63)</f>
        <v>D4</v>
      </c>
      <c r="AJ63" s="3" t="str">
        <f>IF(adatok!O63="","",adatok!O63)</f>
        <v>D</v>
      </c>
    </row>
    <row r="64" spans="1:36" ht="24.9" customHeight="1">
      <c r="A64" s="46" t="s">
        <v>192</v>
      </c>
      <c r="B64" s="47" t="s">
        <v>22</v>
      </c>
      <c r="C64" s="47" t="s">
        <v>40</v>
      </c>
      <c r="D64" s="47" t="s">
        <v>20</v>
      </c>
      <c r="E64" s="47" t="s">
        <v>88</v>
      </c>
      <c r="F64" s="47" t="s">
        <v>7</v>
      </c>
      <c r="G64" s="41"/>
      <c r="H64" s="41" t="s">
        <v>27</v>
      </c>
      <c r="I64" s="41"/>
      <c r="J64" s="41"/>
      <c r="K64" s="41"/>
      <c r="L64" s="41"/>
      <c r="S64" s="3">
        <v>50</v>
      </c>
      <c r="T64" s="3">
        <v>33</v>
      </c>
      <c r="AH64" s="3" t="str">
        <f>IF(adatok!M64="","",adatok!M64)</f>
        <v>Móré Norbert</v>
      </c>
      <c r="AI64" s="3" t="str">
        <f>IF(adatok!N64="","",adatok!N64)</f>
        <v>D4</v>
      </c>
      <c r="AJ64" s="3" t="str">
        <f>IF(adatok!O64="","",adatok!O64)</f>
        <v>D</v>
      </c>
    </row>
    <row r="65" spans="1:36" ht="24.9" customHeight="1">
      <c r="A65" s="46" t="s">
        <v>192</v>
      </c>
      <c r="B65" s="47" t="s">
        <v>22</v>
      </c>
      <c r="C65" s="47" t="s">
        <v>41</v>
      </c>
      <c r="D65" s="47" t="s">
        <v>20</v>
      </c>
      <c r="E65" s="47" t="s">
        <v>142</v>
      </c>
      <c r="F65" s="47" t="s">
        <v>7</v>
      </c>
      <c r="G65" s="41" t="s">
        <v>32</v>
      </c>
      <c r="H65" s="41" t="s">
        <v>27</v>
      </c>
      <c r="I65" s="41" t="s">
        <v>127</v>
      </c>
      <c r="J65" s="41"/>
      <c r="K65" s="41"/>
      <c r="L65" s="41"/>
      <c r="S65" s="3">
        <v>50</v>
      </c>
      <c r="T65" s="3">
        <v>33</v>
      </c>
      <c r="AH65" s="3" t="str">
        <f>IF(adatok!M65="","",adatok!M65)</f>
        <v>Abdelkaaremné Boros Mária</v>
      </c>
      <c r="AI65" s="3" t="str">
        <f>IF(adatok!N65="","",adatok!N65)</f>
        <v>D4</v>
      </c>
      <c r="AJ65" s="3" t="str">
        <f>IF(adatok!O65="","",adatok!O65)</f>
        <v>D</v>
      </c>
    </row>
    <row r="66" spans="1:36" ht="24.9" customHeight="1">
      <c r="A66" s="46" t="s">
        <v>192</v>
      </c>
      <c r="B66" s="47" t="s">
        <v>22</v>
      </c>
      <c r="C66" s="47" t="s">
        <v>40</v>
      </c>
      <c r="D66" s="47" t="s">
        <v>20</v>
      </c>
      <c r="E66" s="47" t="s">
        <v>93</v>
      </c>
      <c r="F66" s="47" t="s">
        <v>7</v>
      </c>
      <c r="G66" s="41" t="s">
        <v>32</v>
      </c>
      <c r="H66" s="41" t="s">
        <v>27</v>
      </c>
      <c r="I66" s="41"/>
      <c r="J66" s="41"/>
      <c r="K66" s="41"/>
      <c r="L66" s="41"/>
      <c r="S66" s="3">
        <v>50</v>
      </c>
      <c r="T66" s="3">
        <v>33</v>
      </c>
      <c r="AH66" s="3" t="str">
        <f>IF(adatok!M66="","",adatok!M66)</f>
        <v>Bíró Orsolya</v>
      </c>
      <c r="AI66" s="3" t="str">
        <f>IF(adatok!N66="","",adatok!N66)</f>
        <v>D4</v>
      </c>
      <c r="AJ66" s="3" t="str">
        <f>IF(adatok!O66="","",adatok!O66)</f>
        <v>D</v>
      </c>
    </row>
    <row r="67" spans="1:36" ht="24.9" customHeight="1">
      <c r="A67" s="46" t="s">
        <v>192</v>
      </c>
      <c r="B67" s="47" t="s">
        <v>22</v>
      </c>
      <c r="C67" s="47" t="s">
        <v>40</v>
      </c>
      <c r="D67" s="47" t="s">
        <v>20</v>
      </c>
      <c r="E67" s="47" t="s">
        <v>175</v>
      </c>
      <c r="F67" s="47" t="s">
        <v>21</v>
      </c>
      <c r="G67" s="41"/>
      <c r="H67" s="41" t="s">
        <v>27</v>
      </c>
      <c r="I67" s="41"/>
      <c r="J67" s="41"/>
      <c r="K67" s="41"/>
      <c r="L67" s="41"/>
      <c r="S67" s="3">
        <v>50</v>
      </c>
      <c r="T67" s="3">
        <v>33</v>
      </c>
      <c r="AH67" s="3" t="str">
        <f>IF(adatok!M67="","",adatok!M67)</f>
        <v>Budaháziné Szabó Marianna</v>
      </c>
      <c r="AI67" s="3" t="str">
        <f>IF(adatok!N67="","",adatok!N67)</f>
        <v>D4</v>
      </c>
      <c r="AJ67" s="3" t="str">
        <f>IF(adatok!O67="","",adatok!O67)</f>
        <v>D</v>
      </c>
    </row>
    <row r="68" spans="1:36" ht="24.9" customHeight="1">
      <c r="A68" s="46" t="s">
        <v>192</v>
      </c>
      <c r="B68" s="47" t="s">
        <v>23</v>
      </c>
      <c r="C68" s="47" t="s">
        <v>40</v>
      </c>
      <c r="D68" s="47" t="s">
        <v>39</v>
      </c>
      <c r="E68" s="47" t="s">
        <v>102</v>
      </c>
      <c r="F68" s="47" t="s">
        <v>7</v>
      </c>
      <c r="G68" s="41"/>
      <c r="H68" s="41" t="s">
        <v>25</v>
      </c>
      <c r="I68" s="41"/>
      <c r="J68" s="41"/>
      <c r="K68" s="41"/>
      <c r="L68" s="41"/>
      <c r="S68" s="3">
        <v>50</v>
      </c>
      <c r="T68" s="3">
        <v>33</v>
      </c>
      <c r="AH68" s="3" t="str">
        <f>IF(adatok!M68="","",adatok!M68)</f>
        <v>Fischer Róbert</v>
      </c>
      <c r="AI68" s="3" t="str">
        <f>IF(adatok!N68="","",adatok!N68)</f>
        <v>D4</v>
      </c>
      <c r="AJ68" s="3" t="str">
        <f>IF(adatok!O68="","",adatok!O68)</f>
        <v>D</v>
      </c>
    </row>
    <row r="69" spans="1:36" ht="24.9" customHeight="1">
      <c r="A69" s="46" t="s">
        <v>192</v>
      </c>
      <c r="B69" s="47" t="s">
        <v>23</v>
      </c>
      <c r="C69" s="47" t="s">
        <v>40</v>
      </c>
      <c r="D69" s="47" t="s">
        <v>39</v>
      </c>
      <c r="E69" s="47" t="s">
        <v>102</v>
      </c>
      <c r="F69" s="47" t="s">
        <v>7</v>
      </c>
      <c r="G69" s="41"/>
      <c r="H69" s="41" t="s">
        <v>25</v>
      </c>
      <c r="I69" s="41"/>
      <c r="J69" s="41"/>
      <c r="K69" s="41"/>
      <c r="L69" s="41"/>
      <c r="S69" s="3">
        <v>50</v>
      </c>
      <c r="T69" s="3">
        <v>33</v>
      </c>
      <c r="AH69" s="3" t="str">
        <f>IF(adatok!M69="","",adatok!M69)</f>
        <v>Szemkó Dániel</v>
      </c>
      <c r="AI69" s="3" t="str">
        <f>IF(adatok!N69="","",adatok!N69)</f>
        <v>D4</v>
      </c>
      <c r="AJ69" s="3" t="str">
        <f>IF(adatok!O69="","",adatok!O69)</f>
        <v>D</v>
      </c>
    </row>
    <row r="70" spans="1:36" ht="24.9" customHeight="1">
      <c r="A70" s="46" t="s">
        <v>192</v>
      </c>
      <c r="B70" s="47" t="s">
        <v>23</v>
      </c>
      <c r="C70" s="47" t="s">
        <v>40</v>
      </c>
      <c r="D70" s="47" t="s">
        <v>42</v>
      </c>
      <c r="E70" s="47" t="s">
        <v>115</v>
      </c>
      <c r="F70" s="47" t="s">
        <v>7</v>
      </c>
      <c r="G70" s="41"/>
      <c r="H70" s="41" t="s">
        <v>25</v>
      </c>
      <c r="I70" s="41"/>
      <c r="J70" s="41"/>
      <c r="K70" s="41"/>
      <c r="L70" s="41"/>
      <c r="S70" s="3">
        <v>50</v>
      </c>
      <c r="T70" s="3">
        <v>33</v>
      </c>
      <c r="AH70" s="3" t="str">
        <f>IF(adatok!M70="","",adatok!M70)</f>
        <v>Tóth Enikő</v>
      </c>
      <c r="AI70" s="3" t="str">
        <f>IF(adatok!N70="","",adatok!N70)</f>
        <v>D4</v>
      </c>
      <c r="AJ70" s="3" t="str">
        <f>IF(adatok!O70="","",adatok!O70)</f>
        <v>D</v>
      </c>
    </row>
    <row r="71" spans="1:36" ht="24.9" customHeight="1">
      <c r="A71" s="46" t="s">
        <v>193</v>
      </c>
      <c r="B71" s="47" t="s">
        <v>22</v>
      </c>
      <c r="C71" s="47" t="s">
        <v>40</v>
      </c>
      <c r="D71" s="47" t="s">
        <v>20</v>
      </c>
      <c r="E71" s="47" t="s">
        <v>93</v>
      </c>
      <c r="F71" s="47" t="s">
        <v>7</v>
      </c>
      <c r="G71" s="41"/>
      <c r="H71" s="41" t="s">
        <v>25</v>
      </c>
      <c r="I71" s="41"/>
      <c r="J71" s="41"/>
      <c r="K71" s="41"/>
      <c r="L71" s="41"/>
      <c r="S71" s="3">
        <v>50</v>
      </c>
      <c r="T71" s="3">
        <v>33</v>
      </c>
      <c r="AH71" s="3" t="str">
        <f>IF(adatok!M71="","",adatok!M71)</f>
        <v>Molnár Gáborné</v>
      </c>
      <c r="AI71" s="3" t="str">
        <f>IF(adatok!N71="","",adatok!N71)</f>
        <v>D4</v>
      </c>
      <c r="AJ71" s="3" t="str">
        <f>IF(adatok!O71="","",adatok!O71)</f>
        <v>D</v>
      </c>
    </row>
    <row r="72" spans="1:36" ht="24.9" customHeight="1">
      <c r="A72" s="46" t="s">
        <v>193</v>
      </c>
      <c r="B72" s="47" t="s">
        <v>22</v>
      </c>
      <c r="C72" s="47" t="s">
        <v>40</v>
      </c>
      <c r="D72" s="47" t="s">
        <v>20</v>
      </c>
      <c r="E72" s="47" t="s">
        <v>88</v>
      </c>
      <c r="F72" s="47" t="s">
        <v>7</v>
      </c>
      <c r="G72" s="41"/>
      <c r="H72" s="41" t="s">
        <v>25</v>
      </c>
      <c r="I72" s="41"/>
      <c r="J72" s="41"/>
      <c r="K72" s="41"/>
      <c r="L72" s="41"/>
      <c r="S72" s="3">
        <v>50</v>
      </c>
      <c r="T72" s="3">
        <v>33</v>
      </c>
      <c r="AH72" s="3" t="str">
        <f>IF(adatok!M72="","",adatok!M72)</f>
        <v>Jávorszky Tamara</v>
      </c>
      <c r="AI72" s="3" t="str">
        <f>IF(adatok!N72="","",adatok!N72)</f>
        <v>D4</v>
      </c>
      <c r="AJ72" s="3" t="str">
        <f>IF(adatok!O72="","",adatok!O72)</f>
        <v>D</v>
      </c>
    </row>
    <row r="73" spans="1:36" ht="24.9" customHeight="1">
      <c r="A73" s="46" t="s">
        <v>193</v>
      </c>
      <c r="B73" s="47" t="s">
        <v>22</v>
      </c>
      <c r="C73" s="47" t="s">
        <v>40</v>
      </c>
      <c r="D73" s="47" t="s">
        <v>20</v>
      </c>
      <c r="E73" s="47" t="s">
        <v>175</v>
      </c>
      <c r="F73" s="47" t="s">
        <v>21</v>
      </c>
      <c r="G73" s="41"/>
      <c r="H73" s="41" t="s">
        <v>25</v>
      </c>
      <c r="I73" s="41"/>
      <c r="J73" s="41"/>
      <c r="K73" s="41"/>
      <c r="L73" s="41"/>
      <c r="S73" s="3">
        <v>50</v>
      </c>
      <c r="T73" s="3">
        <v>33</v>
      </c>
      <c r="AH73" s="3" t="str">
        <f>IF(adatok!M73="","",adatok!M73)</f>
        <v>Borbély Brigitta</v>
      </c>
      <c r="AI73" s="3" t="str">
        <f>IF(adatok!N73="","",adatok!N73)</f>
        <v>D4</v>
      </c>
      <c r="AJ73" s="3" t="str">
        <f>IF(adatok!O73="","",adatok!O73)</f>
        <v>D</v>
      </c>
    </row>
    <row r="74" spans="1:36" ht="24.9" customHeight="1">
      <c r="A74" s="46" t="s">
        <v>193</v>
      </c>
      <c r="B74" s="47" t="s">
        <v>23</v>
      </c>
      <c r="C74" s="47" t="s">
        <v>40</v>
      </c>
      <c r="D74" s="47" t="s">
        <v>39</v>
      </c>
      <c r="E74" s="47" t="s">
        <v>102</v>
      </c>
      <c r="F74" s="47" t="s">
        <v>7</v>
      </c>
      <c r="G74" s="41"/>
      <c r="H74" s="41" t="s">
        <v>24</v>
      </c>
      <c r="I74" s="41"/>
      <c r="J74" s="41"/>
      <c r="K74" s="41"/>
      <c r="L74" s="41"/>
      <c r="S74" s="3">
        <v>50</v>
      </c>
      <c r="T74" s="3">
        <v>33</v>
      </c>
      <c r="AH74" s="3" t="str">
        <f>IF(adatok!M74="","",adatok!M74)</f>
        <v>Lujdort Tiborné</v>
      </c>
      <c r="AI74" s="3" t="str">
        <f>IF(adatok!N74="","",adatok!N74)</f>
        <v>D4</v>
      </c>
      <c r="AJ74" s="3" t="str">
        <f>IF(adatok!O74="","",adatok!O74)</f>
        <v>D</v>
      </c>
    </row>
    <row r="75" spans="1:36" ht="24.9" customHeight="1">
      <c r="A75" s="46" t="s">
        <v>193</v>
      </c>
      <c r="B75" s="47" t="s">
        <v>23</v>
      </c>
      <c r="C75" s="47" t="s">
        <v>40</v>
      </c>
      <c r="D75" s="47" t="s">
        <v>42</v>
      </c>
      <c r="E75" s="47" t="s">
        <v>103</v>
      </c>
      <c r="F75" s="47" t="s">
        <v>7</v>
      </c>
      <c r="G75" s="41"/>
      <c r="H75" s="41" t="s">
        <v>24</v>
      </c>
      <c r="I75" s="41"/>
      <c r="J75" s="41"/>
      <c r="K75" s="41"/>
      <c r="L75" s="41"/>
      <c r="S75" s="3">
        <v>50</v>
      </c>
      <c r="T75" s="3">
        <v>33</v>
      </c>
      <c r="AH75" s="3" t="str">
        <f>IF(adatok!M75="","",adatok!M75)</f>
        <v>Nagy Tamás József</v>
      </c>
      <c r="AI75" s="3" t="str">
        <f>IF(adatok!N75="","",adatok!N75)</f>
        <v>D4</v>
      </c>
      <c r="AJ75" s="3" t="str">
        <f>IF(adatok!O75="","",adatok!O75)</f>
        <v>D</v>
      </c>
    </row>
    <row r="76" spans="1:36" ht="24.9" customHeight="1">
      <c r="A76" s="46" t="s">
        <v>194</v>
      </c>
      <c r="B76" s="47" t="s">
        <v>22</v>
      </c>
      <c r="C76" s="47" t="s">
        <v>41</v>
      </c>
      <c r="D76" s="47" t="s">
        <v>20</v>
      </c>
      <c r="E76" s="47">
        <v>1</v>
      </c>
      <c r="F76" s="47" t="s">
        <v>7</v>
      </c>
      <c r="G76" s="41"/>
      <c r="H76" s="41" t="s">
        <v>26</v>
      </c>
      <c r="I76" s="41"/>
      <c r="J76" s="41"/>
      <c r="K76" s="41"/>
      <c r="L76" s="41"/>
      <c r="S76" s="3">
        <v>50</v>
      </c>
      <c r="T76" s="3">
        <v>33</v>
      </c>
      <c r="AH76" s="3" t="str">
        <f>IF(adatok!M76="","",adatok!M76)</f>
        <v>Almási Józsefné</v>
      </c>
      <c r="AI76" s="3" t="str">
        <f>IF(adatok!N76="","",adatok!N76)</f>
        <v>D4</v>
      </c>
      <c r="AJ76" s="3" t="str">
        <f>IF(adatok!O76="","",adatok!O76)</f>
        <v>D</v>
      </c>
    </row>
    <row r="77" spans="1:36" ht="24.9" customHeight="1">
      <c r="A77" s="46" t="s">
        <v>194</v>
      </c>
      <c r="B77" s="47" t="s">
        <v>22</v>
      </c>
      <c r="C77" s="47" t="s">
        <v>41</v>
      </c>
      <c r="D77" s="47" t="s">
        <v>20</v>
      </c>
      <c r="E77" s="47">
        <v>1</v>
      </c>
      <c r="F77" s="47" t="s">
        <v>7</v>
      </c>
      <c r="G77" s="41"/>
      <c r="H77" s="41" t="s">
        <v>26</v>
      </c>
      <c r="I77" s="41"/>
      <c r="J77" s="41"/>
      <c r="K77" s="41"/>
      <c r="L77" s="41"/>
      <c r="S77" s="3">
        <v>50</v>
      </c>
      <c r="T77" s="3">
        <v>33</v>
      </c>
      <c r="AH77" s="3" t="str">
        <f>IF(adatok!M77="","",adatok!M77)</f>
        <v>Tátrai András</v>
      </c>
      <c r="AI77" s="3" t="str">
        <f>IF(adatok!N77="","",adatok!N77)</f>
        <v>D4</v>
      </c>
      <c r="AJ77" s="3" t="str">
        <f>IF(adatok!O77="","",adatok!O77)</f>
        <v>D</v>
      </c>
    </row>
    <row r="78" spans="1:36" ht="24.9" customHeight="1">
      <c r="A78" s="46" t="s">
        <v>195</v>
      </c>
      <c r="B78" s="47" t="s">
        <v>23</v>
      </c>
      <c r="C78" s="47" t="s">
        <v>41</v>
      </c>
      <c r="D78" s="47" t="s">
        <v>20</v>
      </c>
      <c r="E78" s="47" t="s">
        <v>142</v>
      </c>
      <c r="F78" s="47" t="s">
        <v>7</v>
      </c>
      <c r="G78" s="41"/>
      <c r="H78" s="41" t="s">
        <v>24</v>
      </c>
      <c r="I78" s="41"/>
      <c r="J78" s="41"/>
      <c r="K78" s="41"/>
      <c r="L78" s="41"/>
      <c r="S78" s="3">
        <v>50</v>
      </c>
      <c r="T78" s="3">
        <v>33</v>
      </c>
      <c r="AH78" s="3" t="str">
        <f>IF(adatok!M78="","",adatok!M78)</f>
        <v>Veres Imréné</v>
      </c>
      <c r="AI78" s="3" t="str">
        <f>IF(adatok!N78="","",adatok!N78)</f>
        <v>F4</v>
      </c>
      <c r="AJ78" s="3" t="str">
        <f>IF(adatok!O78="","",adatok!O78)</f>
        <v>A</v>
      </c>
    </row>
    <row r="79" spans="1:36" ht="24.9" customHeight="1">
      <c r="A79" s="46" t="s">
        <v>195</v>
      </c>
      <c r="B79" s="47" t="s">
        <v>22</v>
      </c>
      <c r="C79" s="47" t="s">
        <v>40</v>
      </c>
      <c r="D79" s="47" t="s">
        <v>39</v>
      </c>
      <c r="E79" s="47" t="s">
        <v>102</v>
      </c>
      <c r="F79" s="47" t="s">
        <v>7</v>
      </c>
      <c r="G79" s="41"/>
      <c r="H79" s="41" t="s">
        <v>25</v>
      </c>
      <c r="I79" s="41"/>
      <c r="J79" s="41"/>
      <c r="K79" s="41"/>
      <c r="L79" s="41"/>
      <c r="S79" s="3">
        <v>50</v>
      </c>
      <c r="T79" s="3">
        <v>33</v>
      </c>
      <c r="AH79" s="3" t="str">
        <f>IF(adatok!M79="","",adatok!M79)</f>
        <v>Csitári Istvánné</v>
      </c>
      <c r="AI79" s="3" t="str">
        <f>IF(adatok!N79="","",adatok!N79)</f>
        <v>F4</v>
      </c>
      <c r="AJ79" s="3" t="str">
        <f>IF(adatok!O79="","",adatok!O79)</f>
        <v>A</v>
      </c>
    </row>
    <row r="80" spans="1:36" ht="24.9" customHeight="1">
      <c r="A80" s="46" t="s">
        <v>195</v>
      </c>
      <c r="B80" s="47" t="s">
        <v>22</v>
      </c>
      <c r="C80" s="47" t="s">
        <v>40</v>
      </c>
      <c r="D80" s="47" t="s">
        <v>20</v>
      </c>
      <c r="E80" s="47" t="s">
        <v>116</v>
      </c>
      <c r="F80" s="47" t="s">
        <v>7</v>
      </c>
      <c r="G80" s="41"/>
      <c r="H80" s="41" t="s">
        <v>25</v>
      </c>
      <c r="I80" s="41"/>
      <c r="J80" s="41"/>
      <c r="K80" s="41"/>
      <c r="L80" s="41"/>
      <c r="S80" s="3">
        <v>50</v>
      </c>
      <c r="T80" s="3">
        <v>33</v>
      </c>
      <c r="AH80" s="3" t="str">
        <f>IF(adatok!M80="","",adatok!M80)</f>
        <v>Lázár Krisztina</v>
      </c>
      <c r="AI80" s="3" t="str">
        <f>IF(adatok!N80="","",adatok!N80)</f>
        <v>F4</v>
      </c>
      <c r="AJ80" s="3" t="str">
        <f>IF(adatok!O80="","",adatok!O80)</f>
        <v>A</v>
      </c>
    </row>
    <row r="81" spans="1:36" ht="24.9" customHeight="1">
      <c r="A81" s="46" t="s">
        <v>196</v>
      </c>
      <c r="B81" s="47" t="s">
        <v>23</v>
      </c>
      <c r="C81" s="47" t="s">
        <v>41</v>
      </c>
      <c r="D81" s="47" t="s">
        <v>20</v>
      </c>
      <c r="E81" s="47" t="s">
        <v>142</v>
      </c>
      <c r="F81" s="47" t="s">
        <v>7</v>
      </c>
      <c r="G81" s="41"/>
      <c r="H81" s="41" t="s">
        <v>25</v>
      </c>
      <c r="I81" s="41"/>
      <c r="J81" s="41"/>
      <c r="K81" s="41"/>
      <c r="L81" s="41"/>
      <c r="S81" s="3">
        <v>50</v>
      </c>
      <c r="T81" s="3">
        <v>33</v>
      </c>
      <c r="AH81" s="3" t="str">
        <f>IF(adatok!M81="","",adatok!M81)</f>
        <v>Boros Andrea</v>
      </c>
      <c r="AI81" s="3" t="str">
        <f>IF(adatok!N81="","",adatok!N81)</f>
        <v>F4</v>
      </c>
      <c r="AJ81" s="3" t="str">
        <f>IF(adatok!O81="","",adatok!O81)</f>
        <v>A</v>
      </c>
    </row>
    <row r="82" spans="1:36" ht="24.9" customHeight="1">
      <c r="A82" s="46" t="s">
        <v>196</v>
      </c>
      <c r="B82" s="47" t="s">
        <v>23</v>
      </c>
      <c r="C82" s="47" t="s">
        <v>41</v>
      </c>
      <c r="D82" s="47" t="s">
        <v>20</v>
      </c>
      <c r="E82" s="47" t="s">
        <v>143</v>
      </c>
      <c r="F82" s="47" t="s">
        <v>7</v>
      </c>
      <c r="G82" s="41"/>
      <c r="H82" s="41" t="s">
        <v>25</v>
      </c>
      <c r="I82" s="41"/>
      <c r="J82" s="41"/>
      <c r="K82" s="41"/>
      <c r="L82" s="41"/>
      <c r="S82" s="3">
        <v>50</v>
      </c>
      <c r="T82" s="3">
        <v>33</v>
      </c>
      <c r="AH82" s="3" t="str">
        <f>IF(adatok!M82="","",adatok!M82)</f>
        <v>Sztupák Ildikó</v>
      </c>
      <c r="AI82" s="3" t="str">
        <f>IF(adatok!N82="","",adatok!N82)</f>
        <v>F4</v>
      </c>
      <c r="AJ82" s="3" t="str">
        <f>IF(adatok!O82="","",adatok!O82)</f>
        <v>A</v>
      </c>
    </row>
    <row r="83" spans="1:36" ht="24.9" customHeight="1">
      <c r="A83" s="46" t="s">
        <v>196</v>
      </c>
      <c r="B83" s="47" t="s">
        <v>22</v>
      </c>
      <c r="C83" s="47" t="s">
        <v>41</v>
      </c>
      <c r="D83" s="47" t="s">
        <v>20</v>
      </c>
      <c r="E83" s="47" t="s">
        <v>148</v>
      </c>
      <c r="F83" s="47" t="s">
        <v>7</v>
      </c>
      <c r="G83" s="41"/>
      <c r="H83" s="41" t="s">
        <v>24</v>
      </c>
      <c r="I83" s="41"/>
      <c r="J83" s="41"/>
      <c r="K83" s="41"/>
      <c r="L83" s="41"/>
      <c r="S83" s="3">
        <v>50</v>
      </c>
      <c r="T83" s="3">
        <v>33</v>
      </c>
      <c r="AH83" s="3" t="str">
        <f>IF(adatok!M83="","",adatok!M83)</f>
        <v>Tóth László</v>
      </c>
      <c r="AI83" s="3" t="str">
        <f>IF(adatok!N83="","",adatok!N83)</f>
        <v>F4</v>
      </c>
      <c r="AJ83" s="3" t="str">
        <f>IF(adatok!O83="","",adatok!O83)</f>
        <v>A</v>
      </c>
    </row>
    <row r="84" spans="1:36" ht="24.9" customHeight="1">
      <c r="A84" s="46" t="s">
        <v>196</v>
      </c>
      <c r="B84" s="47" t="s">
        <v>22</v>
      </c>
      <c r="C84" s="47" t="s">
        <v>40</v>
      </c>
      <c r="D84" s="47" t="s">
        <v>20</v>
      </c>
      <c r="E84" s="47" t="s">
        <v>116</v>
      </c>
      <c r="F84" s="47" t="s">
        <v>7</v>
      </c>
      <c r="G84" s="41"/>
      <c r="H84" s="41" t="s">
        <v>24</v>
      </c>
      <c r="I84" s="41"/>
      <c r="J84" s="41"/>
      <c r="K84" s="41"/>
      <c r="L84" s="41"/>
      <c r="S84" s="3">
        <v>50</v>
      </c>
      <c r="T84" s="3">
        <v>33</v>
      </c>
      <c r="AH84" s="3" t="str">
        <f>IF(adatok!M84="","",adatok!M84)</f>
        <v>Fészki Gergely</v>
      </c>
      <c r="AI84" s="3" t="str">
        <f>IF(adatok!N84="","",adatok!N84)</f>
        <v>F4</v>
      </c>
      <c r="AJ84" s="3" t="str">
        <f>IF(adatok!O84="","",adatok!O84)</f>
        <v>A</v>
      </c>
    </row>
    <row r="85" spans="1:36" ht="24.9" customHeight="1">
      <c r="A85" s="46" t="s">
        <v>196</v>
      </c>
      <c r="B85" s="47" t="s">
        <v>22</v>
      </c>
      <c r="C85" s="47" t="s">
        <v>40</v>
      </c>
      <c r="D85" s="47" t="s">
        <v>39</v>
      </c>
      <c r="E85" s="47" t="s">
        <v>102</v>
      </c>
      <c r="F85" s="47" t="s">
        <v>7</v>
      </c>
      <c r="G85" s="41"/>
      <c r="H85" s="41" t="s">
        <v>24</v>
      </c>
      <c r="I85" s="41"/>
      <c r="J85" s="41"/>
      <c r="K85" s="41"/>
      <c r="L85" s="41"/>
      <c r="S85" s="3">
        <v>50</v>
      </c>
      <c r="T85" s="3">
        <v>33</v>
      </c>
      <c r="AH85" s="3" t="str">
        <f>IF(adatok!M85="","",adatok!M85)</f>
        <v>Kapitány Kinga</v>
      </c>
      <c r="AI85" s="3" t="str">
        <f>IF(adatok!N85="","",adatok!N85)</f>
        <v>F4</v>
      </c>
      <c r="AJ85" s="3" t="str">
        <f>IF(adatok!O85="","",adatok!O85)</f>
        <v>A</v>
      </c>
    </row>
    <row r="86" spans="1:36" ht="24.9" customHeight="1">
      <c r="A86" s="46" t="s">
        <v>197</v>
      </c>
      <c r="B86" s="47" t="s">
        <v>22</v>
      </c>
      <c r="C86" s="47" t="s">
        <v>41</v>
      </c>
      <c r="D86" s="47" t="s">
        <v>20</v>
      </c>
      <c r="E86" s="47" t="s">
        <v>124</v>
      </c>
      <c r="F86" s="47" t="s">
        <v>7</v>
      </c>
      <c r="G86" s="41"/>
      <c r="H86" s="41" t="s">
        <v>26</v>
      </c>
      <c r="I86" s="41"/>
      <c r="J86" s="41"/>
      <c r="K86" s="41"/>
      <c r="L86" s="41"/>
      <c r="S86" s="3">
        <v>50</v>
      </c>
      <c r="T86" s="3">
        <v>33</v>
      </c>
      <c r="AH86" s="3" t="str">
        <f>IF(adatok!M86="","",adatok!M86)</f>
        <v>Kovács Gáborné</v>
      </c>
      <c r="AI86" s="3" t="str">
        <f>IF(adatok!N86="","",adatok!N86)</f>
        <v>F4</v>
      </c>
      <c r="AJ86" s="3" t="str">
        <f>IF(adatok!O86="","",adatok!O86)</f>
        <v>A</v>
      </c>
    </row>
    <row r="87" spans="1:36" ht="24.9" customHeight="1">
      <c r="A87" s="46" t="s">
        <v>197</v>
      </c>
      <c r="B87" s="47" t="s">
        <v>22</v>
      </c>
      <c r="C87" s="47" t="s">
        <v>41</v>
      </c>
      <c r="D87" s="47" t="s">
        <v>20</v>
      </c>
      <c r="E87" s="47" t="s">
        <v>120</v>
      </c>
      <c r="F87" s="47" t="s">
        <v>7</v>
      </c>
      <c r="G87" s="41"/>
      <c r="H87" s="41" t="s">
        <v>26</v>
      </c>
      <c r="I87" s="41"/>
      <c r="J87" s="41"/>
      <c r="K87" s="41"/>
      <c r="L87" s="41"/>
      <c r="S87" s="3">
        <v>50</v>
      </c>
      <c r="T87" s="3">
        <v>33</v>
      </c>
      <c r="AH87" s="3" t="str">
        <f>IF(adatok!M87="","",adatok!M87)</f>
        <v>Molnár Béláné</v>
      </c>
      <c r="AI87" s="3" t="str">
        <f>IF(adatok!N87="","",adatok!N87)</f>
        <v>F4</v>
      </c>
      <c r="AJ87" s="3" t="str">
        <f>IF(adatok!O87="","",adatok!O87)</f>
        <v>B</v>
      </c>
    </row>
    <row r="88" spans="1:36" ht="24.9" customHeight="1">
      <c r="A88" s="46" t="s">
        <v>197</v>
      </c>
      <c r="B88" s="47" t="s">
        <v>23</v>
      </c>
      <c r="C88" s="47" t="s">
        <v>41</v>
      </c>
      <c r="D88" s="47" t="s">
        <v>20</v>
      </c>
      <c r="E88" s="47">
        <v>1</v>
      </c>
      <c r="F88" s="47" t="s">
        <v>7</v>
      </c>
      <c r="G88" s="41"/>
      <c r="H88" s="41" t="s">
        <v>27</v>
      </c>
      <c r="I88" s="41"/>
      <c r="J88" s="41"/>
      <c r="K88" s="41"/>
      <c r="L88" s="41"/>
      <c r="S88" s="3">
        <v>50</v>
      </c>
      <c r="T88" s="3">
        <v>33</v>
      </c>
      <c r="AH88" s="3" t="str">
        <f>IF(adatok!M88="","",adatok!M88)</f>
        <v>Szabó Pálné</v>
      </c>
      <c r="AI88" s="3" t="str">
        <f>IF(adatok!N88="","",adatok!N88)</f>
        <v>F4</v>
      </c>
      <c r="AJ88" s="3" t="str">
        <f>IF(adatok!O88="","",adatok!O88)</f>
        <v>B</v>
      </c>
    </row>
    <row r="89" spans="1:36" ht="24.9" customHeight="1">
      <c r="A89" s="48" t="s">
        <v>198</v>
      </c>
      <c r="B89" s="49" t="s">
        <v>22</v>
      </c>
      <c r="C89" s="49" t="s">
        <v>41</v>
      </c>
      <c r="D89" s="49" t="s">
        <v>20</v>
      </c>
      <c r="E89" s="49" t="s">
        <v>124</v>
      </c>
      <c r="F89" s="49" t="s">
        <v>7</v>
      </c>
      <c r="G89" s="41"/>
      <c r="H89" s="41" t="s">
        <v>43</v>
      </c>
      <c r="I89" s="41"/>
      <c r="J89" s="41"/>
      <c r="K89" s="41"/>
      <c r="L89" s="41"/>
      <c r="S89" s="3">
        <v>50</v>
      </c>
      <c r="T89" s="3">
        <v>34</v>
      </c>
      <c r="AH89" s="3" t="str">
        <f>IF(adatok!M89="","",adatok!M89)</f>
        <v>Habán Lászlóné</v>
      </c>
      <c r="AI89" s="3" t="str">
        <f>IF(adatok!N89="","",adatok!N89)</f>
        <v>F4</v>
      </c>
      <c r="AJ89" s="3" t="str">
        <f>IF(adatok!O89="","",adatok!O89)</f>
        <v>B</v>
      </c>
    </row>
    <row r="90" spans="1:36" ht="24.9" customHeight="1">
      <c r="A90" s="48" t="s">
        <v>198</v>
      </c>
      <c r="B90" s="49" t="s">
        <v>22</v>
      </c>
      <c r="C90" s="49" t="s">
        <v>41</v>
      </c>
      <c r="D90" s="49" t="s">
        <v>20</v>
      </c>
      <c r="E90" s="49" t="s">
        <v>120</v>
      </c>
      <c r="F90" s="49" t="s">
        <v>7</v>
      </c>
      <c r="G90" s="41"/>
      <c r="H90" s="41" t="s">
        <v>43</v>
      </c>
      <c r="I90" s="41"/>
      <c r="J90" s="41"/>
      <c r="K90" s="41"/>
      <c r="L90" s="41"/>
      <c r="S90" s="3">
        <v>50</v>
      </c>
      <c r="T90" s="3">
        <v>34</v>
      </c>
      <c r="AH90" s="3" t="str">
        <f>IF(adatok!M90="","",adatok!M90)</f>
        <v>Bartáné Papp Izabella</v>
      </c>
      <c r="AI90" s="3" t="str">
        <f>IF(adatok!N90="","",adatok!N90)</f>
        <v>F4</v>
      </c>
      <c r="AJ90" s="3" t="str">
        <f>IF(adatok!O90="","",adatok!O90)</f>
        <v>B</v>
      </c>
    </row>
    <row r="91" spans="1:36" ht="24.9" customHeight="1">
      <c r="A91" s="48" t="s">
        <v>198</v>
      </c>
      <c r="B91" s="49" t="s">
        <v>23</v>
      </c>
      <c r="C91" s="49" t="s">
        <v>41</v>
      </c>
      <c r="D91" s="49" t="s">
        <v>20</v>
      </c>
      <c r="E91" s="49">
        <v>1</v>
      </c>
      <c r="F91" s="49" t="s">
        <v>7</v>
      </c>
      <c r="G91" s="41"/>
      <c r="H91" s="41" t="s">
        <v>26</v>
      </c>
      <c r="I91" s="41"/>
      <c r="J91" s="41"/>
      <c r="K91" s="41"/>
      <c r="L91" s="41"/>
      <c r="S91" s="3">
        <v>50</v>
      </c>
      <c r="T91" s="3">
        <v>34</v>
      </c>
      <c r="AH91" s="3" t="str">
        <f>IF(adatok!M91="","",adatok!M91)</f>
        <v>Szőr Ákos</v>
      </c>
      <c r="AI91" s="3" t="str">
        <f>IF(adatok!N91="","",adatok!N91)</f>
        <v>F4</v>
      </c>
      <c r="AJ91" s="3" t="str">
        <f>IF(adatok!O91="","",adatok!O91)</f>
        <v>B</v>
      </c>
    </row>
    <row r="92" spans="1:36" ht="24.9" customHeight="1">
      <c r="A92" s="48" t="s">
        <v>198</v>
      </c>
      <c r="B92" s="49" t="s">
        <v>23</v>
      </c>
      <c r="C92" s="49" t="s">
        <v>41</v>
      </c>
      <c r="D92" s="49" t="s">
        <v>20</v>
      </c>
      <c r="E92" s="49">
        <v>1</v>
      </c>
      <c r="F92" s="49" t="s">
        <v>7</v>
      </c>
      <c r="G92" s="41"/>
      <c r="H92" s="41" t="s">
        <v>26</v>
      </c>
      <c r="I92" s="41"/>
      <c r="J92" s="41"/>
      <c r="K92" s="41"/>
      <c r="L92" s="41"/>
      <c r="S92" s="3">
        <v>50</v>
      </c>
      <c r="T92" s="3">
        <v>34</v>
      </c>
      <c r="AH92" s="3" t="str">
        <f>IF(adatok!M92="","",adatok!M92)</f>
        <v>Gálné Szatmári Klaudia</v>
      </c>
      <c r="AI92" s="3" t="str">
        <f>IF(adatok!N92="","",adatok!N92)</f>
        <v>F4</v>
      </c>
      <c r="AJ92" s="3" t="str">
        <f>IF(adatok!O92="","",adatok!O92)</f>
        <v>B</v>
      </c>
    </row>
    <row r="93" spans="1:36" ht="24.9" customHeight="1">
      <c r="A93" s="48" t="s">
        <v>199</v>
      </c>
      <c r="B93" s="49" t="s">
        <v>22</v>
      </c>
      <c r="C93" s="49" t="s">
        <v>40</v>
      </c>
      <c r="D93" s="49" t="s">
        <v>20</v>
      </c>
      <c r="E93" s="49" t="s">
        <v>93</v>
      </c>
      <c r="F93" s="49" t="s">
        <v>7</v>
      </c>
      <c r="G93" s="41"/>
      <c r="H93" s="41" t="s">
        <v>27</v>
      </c>
      <c r="I93" s="41"/>
      <c r="J93" s="41"/>
      <c r="K93" s="41"/>
      <c r="L93" s="41"/>
      <c r="S93" s="3">
        <v>50</v>
      </c>
      <c r="T93" s="3">
        <v>34</v>
      </c>
      <c r="AH93" s="3" t="str">
        <f>IF(adatok!M93="","",adatok!M93)</f>
        <v>Baratiné Stoff Ágnes</v>
      </c>
      <c r="AI93" s="3" t="str">
        <f>IF(adatok!N93="","",adatok!N93)</f>
        <v>F4</v>
      </c>
      <c r="AJ93" s="3" t="str">
        <f>IF(adatok!O93="","",adatok!O93)</f>
        <v>B</v>
      </c>
    </row>
    <row r="94" spans="1:36" ht="24.9" customHeight="1">
      <c r="A94" s="48" t="s">
        <v>199</v>
      </c>
      <c r="B94" s="49" t="s">
        <v>22</v>
      </c>
      <c r="C94" s="49" t="s">
        <v>40</v>
      </c>
      <c r="D94" s="49" t="s">
        <v>20</v>
      </c>
      <c r="E94" s="49" t="s">
        <v>200</v>
      </c>
      <c r="F94" s="49" t="s">
        <v>7</v>
      </c>
      <c r="G94" s="41"/>
      <c r="H94" s="41" t="s">
        <v>27</v>
      </c>
      <c r="I94" s="41"/>
      <c r="J94" s="41"/>
      <c r="K94" s="41"/>
      <c r="L94" s="41"/>
      <c r="S94" s="3">
        <v>50</v>
      </c>
      <c r="T94" s="3">
        <v>34</v>
      </c>
      <c r="AH94" s="3" t="str">
        <f>IF(adatok!M94="","",adatok!M94)</f>
        <v>Fejesné Jakab Noémi</v>
      </c>
      <c r="AI94" s="3" t="str">
        <f>IF(adatok!N94="","",adatok!N94)</f>
        <v>F4</v>
      </c>
      <c r="AJ94" s="3" t="str">
        <f>IF(adatok!O94="","",adatok!O94)</f>
        <v>B</v>
      </c>
    </row>
    <row r="95" spans="1:36" ht="24.9" customHeight="1">
      <c r="A95" s="48" t="s">
        <v>199</v>
      </c>
      <c r="B95" s="49" t="s">
        <v>22</v>
      </c>
      <c r="C95" s="49" t="s">
        <v>40</v>
      </c>
      <c r="D95" s="49" t="s">
        <v>20</v>
      </c>
      <c r="E95" s="49" t="s">
        <v>89</v>
      </c>
      <c r="F95" s="49" t="s">
        <v>7</v>
      </c>
      <c r="G95" s="41"/>
      <c r="H95" s="41" t="s">
        <v>27</v>
      </c>
      <c r="I95" s="41"/>
      <c r="J95" s="41"/>
      <c r="K95" s="41"/>
      <c r="L95" s="41"/>
      <c r="S95" s="3">
        <v>50</v>
      </c>
      <c r="T95" s="3">
        <v>34</v>
      </c>
      <c r="AH95" s="3" t="str">
        <f>IF(adatok!M95="","",adatok!M95)</f>
        <v>Juhászné Molnár Ágnes</v>
      </c>
      <c r="AI95" s="3" t="str">
        <f>IF(adatok!N95="","",adatok!N95)</f>
        <v>F4</v>
      </c>
      <c r="AJ95" s="3" t="str">
        <f>IF(adatok!O95="","",adatok!O95)</f>
        <v>B</v>
      </c>
    </row>
    <row r="96" spans="1:36" ht="24.9" customHeight="1">
      <c r="A96" s="48" t="s">
        <v>199</v>
      </c>
      <c r="B96" s="49" t="s">
        <v>22</v>
      </c>
      <c r="C96" s="49" t="s">
        <v>40</v>
      </c>
      <c r="D96" s="49" t="s">
        <v>18</v>
      </c>
      <c r="E96" s="49" t="s">
        <v>82</v>
      </c>
      <c r="F96" s="49" t="s">
        <v>7</v>
      </c>
      <c r="G96" s="41"/>
      <c r="H96" s="41" t="s">
        <v>27</v>
      </c>
      <c r="I96" s="41"/>
      <c r="J96" s="41"/>
      <c r="K96" s="41"/>
      <c r="L96" s="41"/>
      <c r="S96" s="3">
        <v>50</v>
      </c>
      <c r="T96" s="3">
        <v>34</v>
      </c>
      <c r="AH96" s="3" t="str">
        <f>IF(adatok!M96="","",adatok!M96)</f>
        <v>Takács Veronika</v>
      </c>
      <c r="AI96" s="3" t="str">
        <f>IF(adatok!N96="","",adatok!N96)</f>
        <v>F4</v>
      </c>
      <c r="AJ96" s="3" t="str">
        <f>IF(adatok!O96="","",adatok!O96)</f>
        <v>C</v>
      </c>
    </row>
    <row r="97" spans="1:36" ht="24.9" customHeight="1">
      <c r="A97" s="48" t="s">
        <v>199</v>
      </c>
      <c r="B97" s="49" t="s">
        <v>23</v>
      </c>
      <c r="C97" s="49" t="s">
        <v>41</v>
      </c>
      <c r="D97" s="49" t="s">
        <v>20</v>
      </c>
      <c r="E97" s="49" t="s">
        <v>150</v>
      </c>
      <c r="F97" s="49" t="s">
        <v>7</v>
      </c>
      <c r="G97" s="41"/>
      <c r="H97" s="41" t="s">
        <v>25</v>
      </c>
      <c r="I97" s="41"/>
      <c r="J97" s="41"/>
      <c r="K97" s="41"/>
      <c r="L97" s="41"/>
      <c r="S97" s="3">
        <v>50</v>
      </c>
      <c r="T97" s="3">
        <v>34</v>
      </c>
      <c r="AH97" s="3" t="str">
        <f>IF(adatok!M97="","",adatok!M97)</f>
        <v>Sarafi Roland</v>
      </c>
      <c r="AI97" s="3" t="str">
        <f>IF(adatok!N97="","",adatok!N97)</f>
        <v>F4</v>
      </c>
      <c r="AJ97" s="3" t="str">
        <f>IF(adatok!O97="","",adatok!O97)</f>
        <v>C</v>
      </c>
    </row>
    <row r="98" spans="1:36" ht="24.9" customHeight="1">
      <c r="A98" s="48" t="s">
        <v>199</v>
      </c>
      <c r="B98" s="49" t="s">
        <v>23</v>
      </c>
      <c r="C98" s="49" t="s">
        <v>40</v>
      </c>
      <c r="D98" s="49" t="s">
        <v>20</v>
      </c>
      <c r="E98" s="49" t="s">
        <v>116</v>
      </c>
      <c r="F98" s="49" t="s">
        <v>7</v>
      </c>
      <c r="G98" s="41"/>
      <c r="H98" s="41" t="s">
        <v>25</v>
      </c>
      <c r="I98" s="41"/>
      <c r="J98" s="41"/>
      <c r="K98" s="41"/>
      <c r="L98" s="41"/>
      <c r="S98" s="3">
        <v>50</v>
      </c>
      <c r="T98" s="3">
        <v>34</v>
      </c>
      <c r="AH98" s="3" t="str">
        <f>IF(adatok!M98="","",adatok!M98)</f>
        <v>Sajgóné Kéri Olga</v>
      </c>
      <c r="AI98" s="3" t="str">
        <f>IF(adatok!N98="","",adatok!N98)</f>
        <v>F4</v>
      </c>
      <c r="AJ98" s="3" t="str">
        <f>IF(adatok!O98="","",adatok!O98)</f>
        <v>C</v>
      </c>
    </row>
    <row r="99" spans="1:36" ht="24.9" customHeight="1">
      <c r="A99" s="48" t="s">
        <v>199</v>
      </c>
      <c r="B99" s="49" t="s">
        <v>23</v>
      </c>
      <c r="C99" s="49" t="s">
        <v>40</v>
      </c>
      <c r="D99" s="49" t="s">
        <v>20</v>
      </c>
      <c r="E99" s="49" t="s">
        <v>201</v>
      </c>
      <c r="F99" s="49" t="s">
        <v>7</v>
      </c>
      <c r="G99" s="41"/>
      <c r="H99" s="41" t="s">
        <v>25</v>
      </c>
      <c r="I99" s="41"/>
      <c r="J99" s="41"/>
      <c r="K99" s="41"/>
      <c r="L99" s="41"/>
      <c r="S99" s="3">
        <v>50</v>
      </c>
      <c r="T99" s="3">
        <v>34</v>
      </c>
      <c r="AH99" s="3" t="str">
        <f>IF(adatok!M99="","",adatok!M99)</f>
        <v>Üveges Tünde</v>
      </c>
      <c r="AI99" s="3" t="str">
        <f>IF(adatok!N99="","",adatok!N99)</f>
        <v>F4</v>
      </c>
      <c r="AJ99" s="3" t="str">
        <f>IF(adatok!O99="","",adatok!O99)</f>
        <v>C</v>
      </c>
    </row>
    <row r="100" spans="1:36" ht="24.9" customHeight="1">
      <c r="A100" s="48" t="s">
        <v>202</v>
      </c>
      <c r="B100" s="49" t="s">
        <v>22</v>
      </c>
      <c r="C100" s="49" t="s">
        <v>40</v>
      </c>
      <c r="D100" s="49" t="s">
        <v>20</v>
      </c>
      <c r="E100" s="49" t="s">
        <v>89</v>
      </c>
      <c r="F100" s="49" t="s">
        <v>7</v>
      </c>
      <c r="G100" s="41"/>
      <c r="H100" s="41" t="s">
        <v>25</v>
      </c>
      <c r="I100" s="41"/>
      <c r="J100" s="41"/>
      <c r="K100" s="41"/>
      <c r="L100" s="41"/>
      <c r="S100" s="3">
        <v>50</v>
      </c>
      <c r="T100" s="3">
        <v>34</v>
      </c>
      <c r="AH100" s="3" t="str">
        <f>IF(adatok!M100="","",adatok!M100)</f>
        <v>Lukács Györgyné</v>
      </c>
      <c r="AI100" s="3" t="str">
        <f>IF(adatok!N100="","",adatok!N100)</f>
        <v>F4</v>
      </c>
      <c r="AJ100" s="3" t="str">
        <f>IF(adatok!O100="","",adatok!O100)</f>
        <v>C</v>
      </c>
    </row>
    <row r="101" spans="1:36" ht="24.9" customHeight="1">
      <c r="A101" s="48" t="s">
        <v>202</v>
      </c>
      <c r="B101" s="49" t="s">
        <v>22</v>
      </c>
      <c r="C101" s="49" t="s">
        <v>40</v>
      </c>
      <c r="D101" s="49" t="s">
        <v>20</v>
      </c>
      <c r="E101" s="49" t="s">
        <v>93</v>
      </c>
      <c r="F101" s="49" t="s">
        <v>7</v>
      </c>
      <c r="G101" s="41"/>
      <c r="H101" s="41" t="s">
        <v>25</v>
      </c>
      <c r="I101" s="41"/>
      <c r="J101" s="41"/>
      <c r="K101" s="41"/>
      <c r="L101" s="41"/>
      <c r="S101" s="3">
        <v>50</v>
      </c>
      <c r="T101" s="3">
        <v>34</v>
      </c>
      <c r="AH101" s="3" t="str">
        <f>IF(adatok!M101="","",adatok!M101)</f>
        <v>Remenyikné Katona Zsófia</v>
      </c>
      <c r="AI101" s="3" t="str">
        <f>IF(adatok!N101="","",adatok!N101)</f>
        <v>F4</v>
      </c>
      <c r="AJ101" s="3" t="str">
        <f>IF(adatok!O101="","",adatok!O101)</f>
        <v>C</v>
      </c>
    </row>
    <row r="102" spans="1:36" ht="24.9" customHeight="1">
      <c r="A102" s="48" t="s">
        <v>202</v>
      </c>
      <c r="B102" s="49" t="s">
        <v>22</v>
      </c>
      <c r="C102" s="49" t="s">
        <v>40</v>
      </c>
      <c r="D102" s="49" t="s">
        <v>20</v>
      </c>
      <c r="E102" s="49" t="s">
        <v>200</v>
      </c>
      <c r="F102" s="49" t="s">
        <v>7</v>
      </c>
      <c r="G102" s="41"/>
      <c r="H102" s="41" t="s">
        <v>25</v>
      </c>
      <c r="I102" s="41"/>
      <c r="J102" s="41"/>
      <c r="K102" s="41"/>
      <c r="L102" s="41"/>
      <c r="S102" s="3">
        <v>50</v>
      </c>
      <c r="T102" s="3">
        <v>34</v>
      </c>
      <c r="AH102" s="3" t="str">
        <f>IF(adatok!M102="","",adatok!M102)</f>
        <v>Kondrát Zoltán</v>
      </c>
      <c r="AI102" s="3" t="str">
        <f>IF(adatok!N102="","",adatok!N102)</f>
        <v>F4</v>
      </c>
      <c r="AJ102" s="3" t="str">
        <f>IF(adatok!O102="","",adatok!O102)</f>
        <v>C</v>
      </c>
    </row>
    <row r="103" spans="1:36" ht="24.9" customHeight="1">
      <c r="A103" s="48" t="s">
        <v>202</v>
      </c>
      <c r="B103" s="49" t="s">
        <v>22</v>
      </c>
      <c r="C103" s="49" t="s">
        <v>40</v>
      </c>
      <c r="D103" s="49" t="s">
        <v>18</v>
      </c>
      <c r="E103" s="49" t="s">
        <v>82</v>
      </c>
      <c r="F103" s="49" t="s">
        <v>7</v>
      </c>
      <c r="G103" s="41"/>
      <c r="H103" s="41" t="s">
        <v>25</v>
      </c>
      <c r="I103" s="41"/>
      <c r="J103" s="41"/>
      <c r="K103" s="41"/>
      <c r="L103" s="41"/>
      <c r="S103" s="3">
        <v>50</v>
      </c>
      <c r="T103" s="3">
        <v>34</v>
      </c>
      <c r="AH103" s="3" t="str">
        <f>IF(adatok!M103="","",adatok!M103)</f>
        <v>Almási Mónika</v>
      </c>
      <c r="AI103" s="3" t="str">
        <f>IF(adatok!N103="","",adatok!N103)</f>
        <v>F4</v>
      </c>
      <c r="AJ103" s="3" t="str">
        <f>IF(adatok!O103="","",adatok!O103)</f>
        <v>C</v>
      </c>
    </row>
    <row r="104" spans="1:36" ht="24.9" customHeight="1">
      <c r="A104" s="48" t="s">
        <v>202</v>
      </c>
      <c r="B104" s="49" t="s">
        <v>23</v>
      </c>
      <c r="C104" s="49" t="s">
        <v>41</v>
      </c>
      <c r="D104" s="49" t="s">
        <v>20</v>
      </c>
      <c r="E104" s="49" t="s">
        <v>150</v>
      </c>
      <c r="F104" s="49" t="s">
        <v>7</v>
      </c>
      <c r="G104" s="41"/>
      <c r="H104" s="41" t="s">
        <v>24</v>
      </c>
      <c r="I104" s="41"/>
      <c r="J104" s="41"/>
      <c r="K104" s="41"/>
      <c r="L104" s="41"/>
      <c r="S104" s="3">
        <v>50</v>
      </c>
      <c r="T104" s="3">
        <v>34</v>
      </c>
      <c r="AH104" s="3" t="str">
        <f>IF(adatok!M104="","",adatok!M104)</f>
        <v>Varga Krisztina</v>
      </c>
      <c r="AI104" s="3" t="str">
        <f>IF(adatok!N104="","",adatok!N104)</f>
        <v>F4</v>
      </c>
      <c r="AJ104" s="3" t="str">
        <f>IF(adatok!O104="","",adatok!O104)</f>
        <v>C</v>
      </c>
    </row>
    <row r="105" spans="1:36" ht="24.9" customHeight="1">
      <c r="A105" s="48" t="s">
        <v>202</v>
      </c>
      <c r="B105" s="49" t="s">
        <v>23</v>
      </c>
      <c r="C105" s="49" t="s">
        <v>40</v>
      </c>
      <c r="D105" s="49" t="s">
        <v>20</v>
      </c>
      <c r="E105" s="49" t="s">
        <v>116</v>
      </c>
      <c r="F105" s="49" t="s">
        <v>7</v>
      </c>
      <c r="G105" s="41"/>
      <c r="H105" s="41" t="s">
        <v>24</v>
      </c>
      <c r="I105" s="41"/>
      <c r="J105" s="41"/>
      <c r="K105" s="41"/>
      <c r="L105" s="41"/>
      <c r="S105" s="3">
        <v>50</v>
      </c>
      <c r="T105" s="3">
        <v>34</v>
      </c>
      <c r="AH105" s="3" t="str">
        <f>IF(adatok!M105="","",adatok!M105)</f>
        <v>Balogh Krisztina</v>
      </c>
      <c r="AI105" s="3" t="str">
        <f>IF(adatok!N105="","",adatok!N105)</f>
        <v>F4</v>
      </c>
      <c r="AJ105" s="3" t="str">
        <f>IF(adatok!O105="","",adatok!O105)</f>
        <v>D</v>
      </c>
    </row>
    <row r="106" spans="1:36" ht="24.9" customHeight="1">
      <c r="A106" s="48" t="s">
        <v>202</v>
      </c>
      <c r="B106" s="49" t="s">
        <v>23</v>
      </c>
      <c r="C106" s="49" t="s">
        <v>40</v>
      </c>
      <c r="D106" s="49" t="s">
        <v>20</v>
      </c>
      <c r="E106" s="49" t="s">
        <v>201</v>
      </c>
      <c r="F106" s="49" t="s">
        <v>7</v>
      </c>
      <c r="G106" s="41"/>
      <c r="H106" s="41" t="s">
        <v>24</v>
      </c>
      <c r="I106" s="41"/>
      <c r="J106" s="41"/>
      <c r="K106" s="41"/>
      <c r="L106" s="41"/>
      <c r="S106" s="3">
        <v>50</v>
      </c>
      <c r="T106" s="3">
        <v>34</v>
      </c>
      <c r="AH106" s="3" t="str">
        <f>IF(adatok!M106="","",adatok!M106)</f>
        <v>Fóris Árpádné</v>
      </c>
      <c r="AI106" s="3" t="str">
        <f>IF(adatok!N106="","",adatok!N106)</f>
        <v>F4</v>
      </c>
      <c r="AJ106" s="3" t="str">
        <f>IF(adatok!O106="","",adatok!O106)</f>
        <v>D</v>
      </c>
    </row>
    <row r="107" spans="1:36" ht="24.9" customHeight="1">
      <c r="A107" s="48" t="s">
        <v>203</v>
      </c>
      <c r="B107" s="49" t="s">
        <v>23</v>
      </c>
      <c r="C107" s="49" t="s">
        <v>41</v>
      </c>
      <c r="D107" s="49" t="s">
        <v>20</v>
      </c>
      <c r="E107" s="49" t="s">
        <v>124</v>
      </c>
      <c r="F107" s="49" t="s">
        <v>7</v>
      </c>
      <c r="G107" s="41"/>
      <c r="H107" s="41" t="s">
        <v>27</v>
      </c>
      <c r="I107" s="41"/>
      <c r="J107" s="41"/>
      <c r="K107" s="41"/>
      <c r="L107" s="41"/>
      <c r="S107" s="3">
        <v>50</v>
      </c>
      <c r="T107" s="3">
        <v>34</v>
      </c>
      <c r="AH107" s="3" t="str">
        <f>IF(adatok!M107="","",adatok!M107)</f>
        <v>Koren Csabáné</v>
      </c>
      <c r="AI107" s="3" t="str">
        <f>IF(adatok!N107="","",adatok!N107)</f>
        <v>F4</v>
      </c>
      <c r="AJ107" s="3" t="str">
        <f>IF(adatok!O107="","",adatok!O107)</f>
        <v>D</v>
      </c>
    </row>
    <row r="108" spans="1:36" ht="24.9" customHeight="1">
      <c r="A108" s="48" t="s">
        <v>203</v>
      </c>
      <c r="B108" s="49" t="s">
        <v>23</v>
      </c>
      <c r="C108" s="49" t="s">
        <v>41</v>
      </c>
      <c r="D108" s="49" t="s">
        <v>20</v>
      </c>
      <c r="E108" s="49" t="s">
        <v>120</v>
      </c>
      <c r="F108" s="49" t="s">
        <v>7</v>
      </c>
      <c r="G108" s="41"/>
      <c r="H108" s="41" t="s">
        <v>27</v>
      </c>
      <c r="I108" s="41"/>
      <c r="J108" s="41"/>
      <c r="K108" s="41"/>
      <c r="L108" s="41"/>
      <c r="S108" s="3">
        <v>50</v>
      </c>
      <c r="T108" s="3">
        <v>34</v>
      </c>
      <c r="AH108" s="3" t="str">
        <f>IF(adatok!M108="","",adatok!M108)</f>
        <v>Molnár Bernadett</v>
      </c>
      <c r="AI108" s="3" t="str">
        <f>IF(adatok!N108="","",adatok!N108)</f>
        <v>F4</v>
      </c>
      <c r="AJ108" s="3" t="str">
        <f>IF(adatok!O108="","",adatok!O108)</f>
        <v>D</v>
      </c>
    </row>
    <row r="109" spans="1:36" ht="24.9" customHeight="1">
      <c r="A109" s="48" t="s">
        <v>203</v>
      </c>
      <c r="B109" s="49" t="s">
        <v>204</v>
      </c>
      <c r="C109" s="49" t="s">
        <v>41</v>
      </c>
      <c r="D109" s="49" t="s">
        <v>20</v>
      </c>
      <c r="E109" s="49">
        <v>2</v>
      </c>
      <c r="F109" s="49" t="s">
        <v>7</v>
      </c>
      <c r="G109" s="41"/>
      <c r="H109" s="41" t="s">
        <v>27</v>
      </c>
      <c r="I109" s="41"/>
      <c r="J109" s="41"/>
      <c r="K109" s="41"/>
      <c r="L109" s="41"/>
      <c r="S109" s="3">
        <v>50</v>
      </c>
      <c r="T109" s="3">
        <v>34</v>
      </c>
      <c r="AH109" s="3" t="str">
        <f>IF(adatok!M109="","",adatok!M109)</f>
        <v>Kóródi Lászlóné</v>
      </c>
      <c r="AI109" s="3" t="str">
        <f>IF(adatok!N109="","",adatok!N109)</f>
        <v>F4</v>
      </c>
      <c r="AJ109" s="3" t="str">
        <f>IF(adatok!O109="","",adatok!O109)</f>
        <v>D</v>
      </c>
    </row>
    <row r="110" spans="1:36" ht="24.9" customHeight="1">
      <c r="A110" s="48" t="s">
        <v>203</v>
      </c>
      <c r="B110" s="49" t="s">
        <v>204</v>
      </c>
      <c r="C110" s="49" t="s">
        <v>41</v>
      </c>
      <c r="D110" s="49" t="s">
        <v>20</v>
      </c>
      <c r="E110" s="49">
        <v>2</v>
      </c>
      <c r="F110" s="49" t="s">
        <v>7</v>
      </c>
      <c r="G110" s="41"/>
      <c r="H110" s="41" t="s">
        <v>27</v>
      </c>
      <c r="I110" s="41"/>
      <c r="J110" s="41"/>
      <c r="K110" s="41"/>
      <c r="L110" s="41"/>
      <c r="S110" s="3">
        <v>50</v>
      </c>
      <c r="T110" s="3">
        <v>34</v>
      </c>
      <c r="AH110" s="3" t="str">
        <f>IF(adatok!M110="","",adatok!M110)</f>
        <v>Lelesz Eszter</v>
      </c>
      <c r="AI110" s="3" t="str">
        <f>IF(adatok!N110="","",adatok!N110)</f>
        <v>F4</v>
      </c>
      <c r="AJ110" s="3" t="str">
        <f>IF(adatok!O110="","",adatok!O110)</f>
        <v>D</v>
      </c>
    </row>
    <row r="111" spans="1:36" ht="24.9" customHeight="1">
      <c r="A111" s="48" t="s">
        <v>203</v>
      </c>
      <c r="B111" s="49" t="s">
        <v>22</v>
      </c>
      <c r="C111" s="49" t="s">
        <v>41</v>
      </c>
      <c r="D111" s="49" t="s">
        <v>20</v>
      </c>
      <c r="E111" s="49">
        <v>2</v>
      </c>
      <c r="F111" s="49" t="s">
        <v>7</v>
      </c>
      <c r="G111" s="41"/>
      <c r="H111" s="41" t="s">
        <v>26</v>
      </c>
      <c r="I111" s="41"/>
      <c r="J111" s="41"/>
      <c r="K111" s="41"/>
      <c r="L111" s="41"/>
      <c r="S111" s="3">
        <v>50</v>
      </c>
      <c r="T111" s="3">
        <v>34</v>
      </c>
      <c r="AH111" s="3" t="str">
        <f>IF(adatok!M111="","",adatok!M111)</f>
        <v>Tóth Józsefné</v>
      </c>
      <c r="AI111" s="3" t="str">
        <f>IF(adatok!N111="","",adatok!N111)</f>
        <v>F4</v>
      </c>
      <c r="AJ111" s="3" t="str">
        <f>IF(adatok!O111="","",adatok!O111)</f>
        <v>D</v>
      </c>
    </row>
    <row r="112" spans="1:36" ht="24.9" customHeight="1">
      <c r="A112" s="48" t="s">
        <v>203</v>
      </c>
      <c r="B112" s="49" t="s">
        <v>23</v>
      </c>
      <c r="C112" s="49" t="s">
        <v>40</v>
      </c>
      <c r="D112" s="49" t="s">
        <v>20</v>
      </c>
      <c r="E112" s="49" t="s">
        <v>92</v>
      </c>
      <c r="F112" s="49" t="s">
        <v>7</v>
      </c>
      <c r="G112" s="41"/>
      <c r="H112" s="41" t="s">
        <v>27</v>
      </c>
      <c r="I112" s="41"/>
      <c r="J112" s="41"/>
      <c r="K112" s="41"/>
      <c r="L112" s="41"/>
      <c r="S112" s="3">
        <v>50</v>
      </c>
      <c r="T112" s="3">
        <v>34</v>
      </c>
      <c r="AH112" s="3" t="str">
        <f>IF(adatok!M112="","",adatok!M112)</f>
        <v>Górné Veres Rita</v>
      </c>
      <c r="AI112" s="3" t="str">
        <f>IF(adatok!N112="","",adatok!N112)</f>
        <v>F4</v>
      </c>
      <c r="AJ112" s="3" t="str">
        <f>IF(adatok!O112="","",adatok!O112)</f>
        <v>D</v>
      </c>
    </row>
    <row r="113" spans="1:36" ht="24.9" customHeight="1">
      <c r="A113" s="48" t="s">
        <v>203</v>
      </c>
      <c r="B113" s="49" t="s">
        <v>23</v>
      </c>
      <c r="C113" s="49" t="s">
        <v>40</v>
      </c>
      <c r="D113" s="49" t="s">
        <v>20</v>
      </c>
      <c r="E113" s="49" t="s">
        <v>92</v>
      </c>
      <c r="F113" s="49" t="s">
        <v>7</v>
      </c>
      <c r="G113" s="41"/>
      <c r="H113" s="41" t="s">
        <v>27</v>
      </c>
      <c r="I113" s="41"/>
      <c r="J113" s="41"/>
      <c r="K113" s="41"/>
      <c r="L113" s="41"/>
      <c r="S113" s="3">
        <v>50</v>
      </c>
      <c r="T113" s="3">
        <v>34</v>
      </c>
      <c r="AH113" s="3" t="str">
        <f>IF(adatok!M113="","",adatok!M113)</f>
        <v>Fialkovics Zsoltné</v>
      </c>
      <c r="AI113" s="3" t="str">
        <f>IF(adatok!N113="","",adatok!N113)</f>
        <v>F4</v>
      </c>
      <c r="AJ113" s="3" t="str">
        <f>IF(adatok!O113="","",adatok!O113)</f>
        <v>D</v>
      </c>
    </row>
    <row r="114" spans="1:36" ht="24.9" customHeight="1">
      <c r="A114" s="48" t="s">
        <v>205</v>
      </c>
      <c r="B114" s="49" t="s">
        <v>23</v>
      </c>
      <c r="C114" s="49" t="s">
        <v>41</v>
      </c>
      <c r="D114" s="49" t="s">
        <v>20</v>
      </c>
      <c r="E114" s="49" t="s">
        <v>124</v>
      </c>
      <c r="F114" s="49" t="s">
        <v>7</v>
      </c>
      <c r="G114" s="41"/>
      <c r="H114" s="41" t="s">
        <v>24</v>
      </c>
      <c r="I114" s="41"/>
      <c r="J114" s="41"/>
      <c r="K114" s="41"/>
      <c r="L114" s="41"/>
      <c r="S114" s="3">
        <v>50</v>
      </c>
      <c r="T114" s="3">
        <v>34</v>
      </c>
      <c r="AH114" s="3" t="str">
        <f>IF(adatok!M114="","",adatok!M114)</f>
        <v/>
      </c>
      <c r="AI114" s="3" t="str">
        <f>IF(adatok!N114="","",adatok!N114)</f>
        <v/>
      </c>
      <c r="AJ114" s="3" t="str">
        <f>IF(adatok!O114="","",adatok!O114)</f>
        <v/>
      </c>
    </row>
    <row r="115" spans="1:36" ht="24.9" customHeight="1">
      <c r="A115" s="48" t="s">
        <v>205</v>
      </c>
      <c r="B115" s="49" t="s">
        <v>23</v>
      </c>
      <c r="C115" s="49" t="s">
        <v>40</v>
      </c>
      <c r="D115" s="49" t="s">
        <v>20</v>
      </c>
      <c r="E115" s="49" t="s">
        <v>92</v>
      </c>
      <c r="F115" s="49" t="s">
        <v>7</v>
      </c>
      <c r="G115" s="41"/>
      <c r="H115" s="41" t="s">
        <v>24</v>
      </c>
      <c r="I115" s="41"/>
      <c r="J115" s="41"/>
      <c r="K115" s="41"/>
      <c r="L115" s="41"/>
      <c r="S115" s="3">
        <v>50</v>
      </c>
      <c r="T115" s="3">
        <v>34</v>
      </c>
      <c r="AH115" s="3" t="str">
        <f>IF(adatok!M115="","",adatok!M115)</f>
        <v/>
      </c>
      <c r="AI115" s="3" t="str">
        <f>IF(adatok!N115="","",adatok!N115)</f>
        <v/>
      </c>
      <c r="AJ115" s="3" t="str">
        <f>IF(adatok!O115="","",adatok!O115)</f>
        <v/>
      </c>
    </row>
    <row r="116" spans="1:36" ht="24.9" customHeight="1">
      <c r="A116" s="48" t="s">
        <v>205</v>
      </c>
      <c r="B116" s="49" t="s">
        <v>23</v>
      </c>
      <c r="C116" s="49" t="s">
        <v>40</v>
      </c>
      <c r="D116" s="49" t="s">
        <v>20</v>
      </c>
      <c r="E116" s="49" t="s">
        <v>206</v>
      </c>
      <c r="F116" s="49" t="s">
        <v>7</v>
      </c>
      <c r="G116" s="41"/>
      <c r="H116" s="41" t="s">
        <v>24</v>
      </c>
      <c r="I116" s="41"/>
      <c r="J116" s="41"/>
      <c r="K116" s="41"/>
      <c r="L116" s="41"/>
      <c r="S116" s="3">
        <v>50</v>
      </c>
      <c r="T116" s="3">
        <v>34</v>
      </c>
      <c r="AH116" s="3" t="str">
        <f>IF(adatok!M116="","",adatok!M116)</f>
        <v/>
      </c>
      <c r="AI116" s="3" t="str">
        <f>IF(adatok!N116="","",adatok!N116)</f>
        <v/>
      </c>
      <c r="AJ116" s="3" t="str">
        <f>IF(adatok!O116="","",adatok!O116)</f>
        <v/>
      </c>
    </row>
    <row r="117" spans="1:36" ht="24.9" customHeight="1">
      <c r="A117" s="48" t="s">
        <v>205</v>
      </c>
      <c r="B117" s="49" t="s">
        <v>22</v>
      </c>
      <c r="C117" s="49" t="s">
        <v>41</v>
      </c>
      <c r="D117" s="49" t="s">
        <v>18</v>
      </c>
      <c r="E117" s="49" t="s">
        <v>147</v>
      </c>
      <c r="F117" s="49" t="s">
        <v>7</v>
      </c>
      <c r="G117" s="41"/>
      <c r="H117" s="41" t="s">
        <v>25</v>
      </c>
      <c r="I117" s="41"/>
      <c r="J117" s="41"/>
      <c r="K117" s="41"/>
      <c r="L117" s="41"/>
      <c r="S117" s="3">
        <v>50</v>
      </c>
      <c r="T117" s="3">
        <v>34</v>
      </c>
      <c r="AH117" s="3" t="str">
        <f>IF(adatok!M117="","",adatok!M117)</f>
        <v/>
      </c>
      <c r="AI117" s="3" t="str">
        <f>IF(adatok!N117="","",adatok!N117)</f>
        <v/>
      </c>
      <c r="AJ117" s="3" t="str">
        <f>IF(adatok!O117="","",adatok!O117)</f>
        <v/>
      </c>
    </row>
    <row r="118" spans="1:36" ht="24.9" customHeight="1">
      <c r="A118" s="48" t="s">
        <v>205</v>
      </c>
      <c r="B118" s="49" t="s">
        <v>22</v>
      </c>
      <c r="C118" s="49" t="s">
        <v>41</v>
      </c>
      <c r="D118" s="49" t="s">
        <v>20</v>
      </c>
      <c r="E118" s="49" t="s">
        <v>149</v>
      </c>
      <c r="F118" s="49" t="s">
        <v>7</v>
      </c>
      <c r="G118" s="41"/>
      <c r="H118" s="41" t="s">
        <v>25</v>
      </c>
      <c r="I118" s="41"/>
      <c r="J118" s="41"/>
      <c r="K118" s="41"/>
      <c r="L118" s="41"/>
      <c r="S118" s="3">
        <v>50</v>
      </c>
      <c r="T118" s="3">
        <v>34</v>
      </c>
      <c r="AH118" s="3" t="str">
        <f>IF(adatok!M118="","",adatok!M118)</f>
        <v/>
      </c>
      <c r="AI118" s="3" t="str">
        <f>IF(adatok!N118="","",adatok!N118)</f>
        <v/>
      </c>
      <c r="AJ118" s="3" t="str">
        <f>IF(adatok!O118="","",adatok!O118)</f>
        <v/>
      </c>
    </row>
    <row r="119" spans="1:36" ht="24.9" customHeight="1">
      <c r="A119" s="48" t="s">
        <v>205</v>
      </c>
      <c r="B119" s="49" t="s">
        <v>22</v>
      </c>
      <c r="C119" s="49" t="s">
        <v>40</v>
      </c>
      <c r="D119" s="49" t="s">
        <v>20</v>
      </c>
      <c r="E119" s="49" t="s">
        <v>116</v>
      </c>
      <c r="F119" s="49" t="s">
        <v>7</v>
      </c>
      <c r="G119" s="41"/>
      <c r="H119" s="41" t="s">
        <v>25</v>
      </c>
      <c r="I119" s="41"/>
      <c r="J119" s="41"/>
      <c r="K119" s="41"/>
      <c r="L119" s="41"/>
      <c r="S119" s="3">
        <v>50</v>
      </c>
      <c r="T119" s="3">
        <v>34</v>
      </c>
      <c r="AH119" s="3" t="str">
        <f>IF(adatok!M119="","",adatok!M119)</f>
        <v/>
      </c>
      <c r="AI119" s="3" t="str">
        <f>IF(adatok!N119="","",adatok!N119)</f>
        <v/>
      </c>
      <c r="AJ119" s="3" t="str">
        <f>IF(adatok!O119="","",adatok!O119)</f>
        <v/>
      </c>
    </row>
    <row r="120" spans="1:36" ht="24.9" customHeight="1">
      <c r="A120" s="48" t="s">
        <v>205</v>
      </c>
      <c r="B120" s="49" t="s">
        <v>22</v>
      </c>
      <c r="C120" s="49" t="s">
        <v>40</v>
      </c>
      <c r="D120" s="49" t="s">
        <v>36</v>
      </c>
      <c r="E120" s="49" t="s">
        <v>111</v>
      </c>
      <c r="F120" s="49" t="s">
        <v>7</v>
      </c>
      <c r="G120" s="41"/>
      <c r="H120" s="41" t="s">
        <v>25</v>
      </c>
      <c r="I120" s="41"/>
      <c r="J120" s="41"/>
      <c r="K120" s="41"/>
      <c r="L120" s="41"/>
      <c r="S120" s="3">
        <v>50</v>
      </c>
      <c r="T120" s="3">
        <v>34</v>
      </c>
      <c r="AH120" s="3" t="str">
        <f>IF(adatok!M120="","",adatok!M120)</f>
        <v/>
      </c>
      <c r="AI120" s="3" t="str">
        <f>IF(adatok!N120="","",adatok!N120)</f>
        <v/>
      </c>
      <c r="AJ120" s="3" t="str">
        <f>IF(adatok!O120="","",adatok!O120)</f>
        <v/>
      </c>
    </row>
    <row r="121" spans="1:36" ht="24.9" customHeight="1">
      <c r="A121" s="48" t="s">
        <v>207</v>
      </c>
      <c r="B121" s="49" t="s">
        <v>22</v>
      </c>
      <c r="C121" s="49" t="s">
        <v>41</v>
      </c>
      <c r="D121" s="49" t="s">
        <v>18</v>
      </c>
      <c r="E121" s="49" t="s">
        <v>147</v>
      </c>
      <c r="F121" s="49" t="s">
        <v>7</v>
      </c>
      <c r="G121" s="41"/>
      <c r="H121" s="41" t="s">
        <v>24</v>
      </c>
      <c r="I121" s="41"/>
      <c r="J121" s="41"/>
      <c r="K121" s="41"/>
      <c r="L121" s="41"/>
      <c r="S121" s="3">
        <v>50</v>
      </c>
      <c r="T121" s="3">
        <v>34</v>
      </c>
      <c r="AH121" s="3" t="str">
        <f>IF(adatok!M121="","",adatok!M121)</f>
        <v/>
      </c>
      <c r="AI121" s="3" t="str">
        <f>IF(adatok!N121="","",adatok!N121)</f>
        <v/>
      </c>
      <c r="AJ121" s="3" t="str">
        <f>IF(adatok!O121="","",adatok!O121)</f>
        <v/>
      </c>
    </row>
    <row r="122" spans="1:36" ht="24.9" customHeight="1">
      <c r="A122" s="48" t="s">
        <v>207</v>
      </c>
      <c r="B122" s="49" t="s">
        <v>22</v>
      </c>
      <c r="C122" s="49" t="s">
        <v>41</v>
      </c>
      <c r="D122" s="49" t="s">
        <v>20</v>
      </c>
      <c r="E122" s="49" t="s">
        <v>149</v>
      </c>
      <c r="F122" s="49" t="s">
        <v>7</v>
      </c>
      <c r="G122" s="41"/>
      <c r="H122" s="41" t="s">
        <v>24</v>
      </c>
      <c r="I122" s="41"/>
      <c r="J122" s="41"/>
      <c r="K122" s="41"/>
      <c r="L122" s="41"/>
      <c r="S122" s="3">
        <v>50</v>
      </c>
      <c r="T122" s="3">
        <v>34</v>
      </c>
      <c r="AH122" s="3" t="str">
        <f>IF(adatok!M122="","",adatok!M122)</f>
        <v/>
      </c>
      <c r="AI122" s="3" t="str">
        <f>IF(adatok!N122="","",adatok!N122)</f>
        <v/>
      </c>
      <c r="AJ122" s="3" t="str">
        <f>IF(adatok!O122="","",adatok!O122)</f>
        <v/>
      </c>
    </row>
    <row r="123" spans="1:36" ht="24.9" customHeight="1">
      <c r="A123" s="48" t="s">
        <v>207</v>
      </c>
      <c r="B123" s="49" t="s">
        <v>22</v>
      </c>
      <c r="C123" s="49" t="s">
        <v>40</v>
      </c>
      <c r="D123" s="49" t="s">
        <v>20</v>
      </c>
      <c r="E123" s="49" t="s">
        <v>116</v>
      </c>
      <c r="F123" s="49" t="s">
        <v>7</v>
      </c>
      <c r="G123" s="41"/>
      <c r="H123" s="41" t="s">
        <v>24</v>
      </c>
      <c r="I123" s="41"/>
      <c r="J123" s="41"/>
      <c r="K123" s="41"/>
      <c r="L123" s="41"/>
      <c r="S123" s="3">
        <v>50</v>
      </c>
      <c r="T123" s="3">
        <v>34</v>
      </c>
      <c r="AH123" s="3" t="str">
        <f>IF(adatok!M123="","",adatok!M123)</f>
        <v/>
      </c>
      <c r="AI123" s="3" t="str">
        <f>IF(adatok!N123="","",adatok!N123)</f>
        <v/>
      </c>
      <c r="AJ123" s="3" t="str">
        <f>IF(adatok!O123="","",adatok!O123)</f>
        <v/>
      </c>
    </row>
    <row r="124" spans="1:36" ht="24.9" customHeight="1">
      <c r="A124" s="48" t="s">
        <v>207</v>
      </c>
      <c r="B124" s="49" t="s">
        <v>22</v>
      </c>
      <c r="C124" s="49" t="s">
        <v>40</v>
      </c>
      <c r="D124" s="49" t="s">
        <v>36</v>
      </c>
      <c r="E124" s="49" t="s">
        <v>111</v>
      </c>
      <c r="F124" s="49" t="s">
        <v>7</v>
      </c>
      <c r="G124" s="41"/>
      <c r="H124" s="41" t="s">
        <v>24</v>
      </c>
      <c r="I124" s="41"/>
      <c r="J124" s="41"/>
      <c r="K124" s="41"/>
      <c r="L124" s="41"/>
      <c r="S124" s="3">
        <v>50</v>
      </c>
      <c r="T124" s="3">
        <v>34</v>
      </c>
      <c r="AH124" s="3" t="str">
        <f>IF(adatok!M124="","",adatok!M124)</f>
        <v/>
      </c>
      <c r="AI124" s="3" t="str">
        <f>IF(adatok!N124="","",adatok!N124)</f>
        <v/>
      </c>
      <c r="AJ124" s="3" t="str">
        <f>IF(adatok!O124="","",adatok!O124)</f>
        <v/>
      </c>
    </row>
    <row r="125" spans="1:36" ht="24.9" customHeight="1">
      <c r="A125" s="39" t="s">
        <v>208</v>
      </c>
      <c r="B125" s="40" t="s">
        <v>22</v>
      </c>
      <c r="C125" s="40" t="s">
        <v>41</v>
      </c>
      <c r="D125" s="40" t="s">
        <v>20</v>
      </c>
      <c r="E125" s="40" t="s">
        <v>124</v>
      </c>
      <c r="F125" s="40" t="s">
        <v>7</v>
      </c>
      <c r="G125" s="41"/>
      <c r="H125" s="41" t="s">
        <v>26</v>
      </c>
      <c r="I125" s="41"/>
      <c r="J125" s="41"/>
      <c r="K125" s="41"/>
      <c r="L125" s="41"/>
      <c r="S125" s="3">
        <v>50</v>
      </c>
      <c r="T125" s="3">
        <v>35</v>
      </c>
      <c r="AH125" s="3" t="str">
        <f>IF(adatok!M125="","",adatok!M125)</f>
        <v/>
      </c>
      <c r="AI125" s="3" t="str">
        <f>IF(adatok!N125="","",adatok!N125)</f>
        <v/>
      </c>
      <c r="AJ125" s="3" t="str">
        <f>IF(adatok!O125="","",adatok!O125)</f>
        <v/>
      </c>
    </row>
    <row r="126" spans="1:36" ht="24.9" customHeight="1">
      <c r="A126" s="39" t="s">
        <v>208</v>
      </c>
      <c r="B126" s="40" t="s">
        <v>23</v>
      </c>
      <c r="C126" s="40" t="s">
        <v>41</v>
      </c>
      <c r="D126" s="40" t="s">
        <v>20</v>
      </c>
      <c r="E126" s="40">
        <v>2</v>
      </c>
      <c r="F126" s="40" t="s">
        <v>7</v>
      </c>
      <c r="G126" s="41"/>
      <c r="H126" s="41" t="s">
        <v>27</v>
      </c>
      <c r="I126" s="41"/>
      <c r="J126" s="41"/>
      <c r="K126" s="41"/>
      <c r="L126" s="41"/>
      <c r="S126" s="3">
        <v>50</v>
      </c>
      <c r="T126" s="3">
        <v>35</v>
      </c>
      <c r="AH126" s="3" t="str">
        <f>IF(adatok!M126="","",adatok!M126)</f>
        <v/>
      </c>
      <c r="AI126" s="3" t="str">
        <f>IF(adatok!N126="","",adatok!N126)</f>
        <v/>
      </c>
      <c r="AJ126" s="3" t="str">
        <f>IF(adatok!O126="","",adatok!O126)</f>
        <v/>
      </c>
    </row>
    <row r="127" spans="1:36" ht="24.9" customHeight="1">
      <c r="A127" s="39" t="s">
        <v>209</v>
      </c>
      <c r="B127" s="40" t="s">
        <v>22</v>
      </c>
      <c r="C127" s="40" t="s">
        <v>41</v>
      </c>
      <c r="D127" s="40" t="s">
        <v>20</v>
      </c>
      <c r="E127" s="40" t="s">
        <v>124</v>
      </c>
      <c r="F127" s="40" t="s">
        <v>7</v>
      </c>
      <c r="G127" s="41"/>
      <c r="H127" s="41" t="s">
        <v>43</v>
      </c>
      <c r="I127" s="41"/>
      <c r="J127" s="41"/>
      <c r="K127" s="41"/>
      <c r="L127" s="41"/>
      <c r="S127" s="3">
        <v>50</v>
      </c>
      <c r="T127" s="3">
        <v>35</v>
      </c>
      <c r="AH127" s="3" t="str">
        <f>IF(adatok!M127="","",adatok!M127)</f>
        <v/>
      </c>
      <c r="AI127" s="3" t="str">
        <f>IF(adatok!N127="","",adatok!N127)</f>
        <v/>
      </c>
      <c r="AJ127" s="3" t="str">
        <f>IF(adatok!O127="","",adatok!O127)</f>
        <v/>
      </c>
    </row>
    <row r="128" spans="1:36" ht="24.9" customHeight="1">
      <c r="A128" s="39" t="s">
        <v>209</v>
      </c>
      <c r="B128" s="40" t="s">
        <v>23</v>
      </c>
      <c r="C128" s="40" t="s">
        <v>41</v>
      </c>
      <c r="D128" s="40" t="s">
        <v>20</v>
      </c>
      <c r="E128" s="40">
        <v>2</v>
      </c>
      <c r="F128" s="40" t="s">
        <v>7</v>
      </c>
      <c r="G128" s="41"/>
      <c r="H128" s="41" t="s">
        <v>26</v>
      </c>
      <c r="I128" s="41"/>
      <c r="J128" s="41"/>
      <c r="K128" s="41"/>
      <c r="L128" s="41"/>
      <c r="S128" s="3">
        <v>50</v>
      </c>
      <c r="T128" s="3">
        <v>35</v>
      </c>
      <c r="AH128" s="3" t="str">
        <f>IF(adatok!M128="","",adatok!M128)</f>
        <v/>
      </c>
      <c r="AI128" s="3" t="str">
        <f>IF(adatok!N128="","",adatok!N128)</f>
        <v/>
      </c>
      <c r="AJ128" s="3" t="str">
        <f>IF(adatok!O128="","",adatok!O128)</f>
        <v/>
      </c>
    </row>
    <row r="129" spans="1:36" ht="24.9" customHeight="1">
      <c r="A129" s="39" t="s">
        <v>210</v>
      </c>
      <c r="B129" s="40" t="s">
        <v>23</v>
      </c>
      <c r="C129" s="40" t="s">
        <v>40</v>
      </c>
      <c r="D129" s="40" t="s">
        <v>42</v>
      </c>
      <c r="E129" s="40" t="s">
        <v>103</v>
      </c>
      <c r="F129" s="40" t="s">
        <v>7</v>
      </c>
      <c r="G129" s="41"/>
      <c r="H129" s="41" t="s">
        <v>24</v>
      </c>
      <c r="I129" s="41"/>
      <c r="J129" s="41"/>
      <c r="K129" s="41"/>
      <c r="L129" s="41"/>
      <c r="S129" s="3">
        <v>50</v>
      </c>
      <c r="T129" s="3">
        <v>35</v>
      </c>
      <c r="AH129" s="3" t="str">
        <f>IF(adatok!M129="","",adatok!M129)</f>
        <v/>
      </c>
      <c r="AI129" s="3" t="str">
        <f>IF(adatok!N129="","",adatok!N129)</f>
        <v/>
      </c>
      <c r="AJ129" s="3" t="str">
        <f>IF(adatok!O129="","",adatok!O129)</f>
        <v/>
      </c>
    </row>
    <row r="130" spans="1:36" ht="24.9" customHeight="1">
      <c r="A130" s="39" t="s">
        <v>210</v>
      </c>
      <c r="B130" s="40" t="s">
        <v>23</v>
      </c>
      <c r="C130" s="40" t="s">
        <v>40</v>
      </c>
      <c r="D130" s="40" t="s">
        <v>20</v>
      </c>
      <c r="E130" s="40" t="s">
        <v>113</v>
      </c>
      <c r="F130" s="40" t="s">
        <v>7</v>
      </c>
      <c r="G130" s="41"/>
      <c r="H130" s="41" t="s">
        <v>24</v>
      </c>
      <c r="I130" s="41"/>
      <c r="J130" s="41"/>
      <c r="K130" s="41"/>
      <c r="L130" s="41"/>
      <c r="S130" s="3">
        <v>50</v>
      </c>
      <c r="T130" s="3">
        <v>35</v>
      </c>
      <c r="AH130" s="3" t="str">
        <f>IF(adatok!M130="","",adatok!M130)</f>
        <v/>
      </c>
      <c r="AI130" s="3" t="str">
        <f>IF(adatok!N130="","",adatok!N130)</f>
        <v/>
      </c>
      <c r="AJ130" s="3" t="str">
        <f>IF(adatok!O130="","",adatok!O130)</f>
        <v/>
      </c>
    </row>
    <row r="131" spans="1:36" ht="24.9" customHeight="1">
      <c r="A131" s="39" t="s">
        <v>211</v>
      </c>
      <c r="B131" s="40" t="s">
        <v>22</v>
      </c>
      <c r="C131" s="40" t="s">
        <v>41</v>
      </c>
      <c r="D131" s="40" t="s">
        <v>20</v>
      </c>
      <c r="E131" s="40">
        <v>1</v>
      </c>
      <c r="F131" s="40" t="s">
        <v>7</v>
      </c>
      <c r="G131" s="41"/>
      <c r="H131" s="41" t="s">
        <v>27</v>
      </c>
      <c r="I131" s="41"/>
      <c r="J131" s="41"/>
      <c r="K131" s="41"/>
      <c r="L131" s="41"/>
      <c r="S131" s="3">
        <v>50</v>
      </c>
      <c r="T131" s="3">
        <v>35</v>
      </c>
      <c r="AH131" s="3" t="str">
        <f>IF(adatok!M131="","",adatok!M131)</f>
        <v/>
      </c>
      <c r="AI131" s="3" t="str">
        <f>IF(adatok!N131="","",adatok!N131)</f>
        <v/>
      </c>
      <c r="AJ131" s="3" t="str">
        <f>IF(adatok!O131="","",adatok!O131)</f>
        <v/>
      </c>
    </row>
    <row r="132" spans="1:36" ht="24.9" customHeight="1">
      <c r="A132" s="39" t="s">
        <v>211</v>
      </c>
      <c r="B132" s="40" t="s">
        <v>22</v>
      </c>
      <c r="C132" s="40" t="s">
        <v>40</v>
      </c>
      <c r="D132" s="40" t="s">
        <v>20</v>
      </c>
      <c r="E132" s="40" t="s">
        <v>72</v>
      </c>
      <c r="F132" s="40" t="s">
        <v>7</v>
      </c>
      <c r="G132" s="41"/>
      <c r="H132" s="41" t="s">
        <v>27</v>
      </c>
      <c r="I132" s="41"/>
      <c r="J132" s="41"/>
      <c r="K132" s="41"/>
      <c r="L132" s="41"/>
      <c r="S132" s="3">
        <v>50</v>
      </c>
      <c r="T132" s="3">
        <v>35</v>
      </c>
      <c r="AH132" s="3" t="str">
        <f>IF(adatok!M132="","",adatok!M132)</f>
        <v/>
      </c>
      <c r="AI132" s="3" t="str">
        <f>IF(adatok!N132="","",adatok!N132)</f>
        <v/>
      </c>
      <c r="AJ132" s="3" t="str">
        <f>IF(adatok!O132="","",adatok!O132)</f>
        <v/>
      </c>
    </row>
    <row r="133" spans="1:36" ht="24.9" customHeight="1">
      <c r="A133" s="39" t="s">
        <v>212</v>
      </c>
      <c r="B133" s="40" t="s">
        <v>22</v>
      </c>
      <c r="C133" s="40" t="s">
        <v>41</v>
      </c>
      <c r="D133" s="40" t="s">
        <v>18</v>
      </c>
      <c r="E133" s="40">
        <v>1</v>
      </c>
      <c r="F133" s="40" t="s">
        <v>7</v>
      </c>
      <c r="G133" s="41"/>
      <c r="H133" s="41" t="s">
        <v>26</v>
      </c>
      <c r="I133" s="41"/>
      <c r="J133" s="41"/>
      <c r="K133" s="41"/>
      <c r="L133" s="41"/>
      <c r="S133" s="3">
        <v>50</v>
      </c>
      <c r="T133" s="3">
        <v>35</v>
      </c>
      <c r="AH133" s="3" t="str">
        <f>IF(adatok!M133="","",adatok!M133)</f>
        <v/>
      </c>
      <c r="AI133" s="3" t="str">
        <f>IF(adatok!N133="","",adatok!N133)</f>
        <v/>
      </c>
      <c r="AJ133" s="3" t="str">
        <f>IF(adatok!O133="","",adatok!O133)</f>
        <v/>
      </c>
    </row>
    <row r="134" spans="1:36" ht="24.9" customHeight="1">
      <c r="A134" s="39" t="s">
        <v>212</v>
      </c>
      <c r="B134" s="40" t="s">
        <v>22</v>
      </c>
      <c r="C134" s="40" t="s">
        <v>41</v>
      </c>
      <c r="D134" s="40" t="s">
        <v>20</v>
      </c>
      <c r="E134" s="40">
        <v>1</v>
      </c>
      <c r="F134" s="40" t="s">
        <v>7</v>
      </c>
      <c r="G134" s="41"/>
      <c r="H134" s="41" t="s">
        <v>26</v>
      </c>
      <c r="I134" s="41"/>
      <c r="J134" s="41"/>
      <c r="K134" s="41"/>
      <c r="L134" s="41"/>
      <c r="S134" s="3">
        <v>50</v>
      </c>
      <c r="T134" s="3">
        <v>35</v>
      </c>
      <c r="AH134" s="3" t="str">
        <f>IF(adatok!M134="","",adatok!M134)</f>
        <v/>
      </c>
      <c r="AI134" s="3" t="str">
        <f>IF(adatok!N134="","",adatok!N134)</f>
        <v/>
      </c>
      <c r="AJ134" s="3" t="str">
        <f>IF(adatok!O134="","",adatok!O134)</f>
        <v/>
      </c>
    </row>
    <row r="135" spans="1:36" ht="24.9" customHeight="1">
      <c r="A135" s="39" t="s">
        <v>212</v>
      </c>
      <c r="B135" s="40" t="s">
        <v>22</v>
      </c>
      <c r="C135" s="40" t="s">
        <v>40</v>
      </c>
      <c r="D135" s="40" t="s">
        <v>20</v>
      </c>
      <c r="E135" s="40" t="s">
        <v>72</v>
      </c>
      <c r="F135" s="40" t="s">
        <v>7</v>
      </c>
      <c r="G135" s="41"/>
      <c r="H135" s="41" t="s">
        <v>26</v>
      </c>
      <c r="I135" s="41"/>
      <c r="J135" s="41"/>
      <c r="K135" s="41"/>
      <c r="L135" s="41"/>
      <c r="S135" s="3">
        <v>50</v>
      </c>
      <c r="T135" s="3">
        <v>35</v>
      </c>
      <c r="AH135" s="3" t="str">
        <f>IF(adatok!M135="","",adatok!M135)</f>
        <v/>
      </c>
      <c r="AI135" s="3" t="str">
        <f>IF(adatok!N135="","",adatok!N135)</f>
        <v/>
      </c>
      <c r="AJ135" s="3" t="str">
        <f>IF(adatok!O135="","",adatok!O135)</f>
        <v/>
      </c>
    </row>
    <row r="136" spans="1:36" ht="24.9" customHeight="1">
      <c r="A136" s="39" t="s">
        <v>213</v>
      </c>
      <c r="B136" s="40" t="s">
        <v>23</v>
      </c>
      <c r="C136" s="40" t="s">
        <v>40</v>
      </c>
      <c r="D136" s="40" t="s">
        <v>20</v>
      </c>
      <c r="E136" s="40" t="s">
        <v>93</v>
      </c>
      <c r="F136" s="40" t="s">
        <v>7</v>
      </c>
      <c r="G136" s="41"/>
      <c r="H136" s="41" t="s">
        <v>24</v>
      </c>
      <c r="I136" s="41"/>
      <c r="J136" s="41"/>
      <c r="K136" s="41"/>
      <c r="L136" s="41"/>
      <c r="S136" s="3">
        <v>50</v>
      </c>
      <c r="T136" s="3">
        <v>35</v>
      </c>
      <c r="AH136" s="3" t="str">
        <f>IF(adatok!M136="","",adatok!M136)</f>
        <v/>
      </c>
      <c r="AI136" s="3" t="str">
        <f>IF(adatok!N136="","",adatok!N136)</f>
        <v/>
      </c>
      <c r="AJ136" s="3" t="str">
        <f>IF(adatok!O136="","",adatok!O136)</f>
        <v/>
      </c>
    </row>
    <row r="137" spans="1:36" ht="24.9" customHeight="1">
      <c r="A137" s="39" t="s">
        <v>213</v>
      </c>
      <c r="B137" s="40" t="s">
        <v>22</v>
      </c>
      <c r="C137" s="40" t="s">
        <v>40</v>
      </c>
      <c r="D137" s="40" t="s">
        <v>20</v>
      </c>
      <c r="E137" s="40" t="s">
        <v>116</v>
      </c>
      <c r="F137" s="40" t="s">
        <v>7</v>
      </c>
      <c r="G137" s="41"/>
      <c r="H137" s="41" t="s">
        <v>25</v>
      </c>
      <c r="I137" s="41"/>
      <c r="J137" s="41"/>
      <c r="K137" s="41"/>
      <c r="L137" s="41"/>
      <c r="S137" s="3">
        <v>50</v>
      </c>
      <c r="T137" s="3">
        <v>35</v>
      </c>
      <c r="AH137" s="3" t="str">
        <f>IF(adatok!M137="","",adatok!M137)</f>
        <v/>
      </c>
      <c r="AI137" s="3" t="str">
        <f>IF(adatok!N137="","",adatok!N137)</f>
        <v/>
      </c>
      <c r="AJ137" s="3" t="str">
        <f>IF(adatok!O137="","",adatok!O137)</f>
        <v/>
      </c>
    </row>
    <row r="138" spans="1:36" ht="24.9" customHeight="1">
      <c r="A138" s="39" t="s">
        <v>213</v>
      </c>
      <c r="B138" s="40" t="s">
        <v>22</v>
      </c>
      <c r="C138" s="40" t="s">
        <v>40</v>
      </c>
      <c r="D138" s="40" t="s">
        <v>19</v>
      </c>
      <c r="E138" s="40" t="s">
        <v>117</v>
      </c>
      <c r="F138" s="40" t="s">
        <v>7</v>
      </c>
      <c r="G138" s="41"/>
      <c r="H138" s="41" t="s">
        <v>25</v>
      </c>
      <c r="I138" s="41"/>
      <c r="J138" s="41"/>
      <c r="K138" s="41"/>
      <c r="L138" s="41"/>
      <c r="S138" s="3">
        <v>50</v>
      </c>
      <c r="T138" s="3">
        <v>35</v>
      </c>
      <c r="AH138" s="3" t="str">
        <f>IF(adatok!M138="","",adatok!M138)</f>
        <v/>
      </c>
      <c r="AI138" s="3" t="str">
        <f>IF(adatok!N138="","",adatok!N138)</f>
        <v/>
      </c>
      <c r="AJ138" s="3" t="str">
        <f>IF(adatok!O138="","",adatok!O138)</f>
        <v/>
      </c>
    </row>
    <row r="139" spans="1:36" ht="24.9" customHeight="1">
      <c r="A139" s="44" t="s">
        <v>214</v>
      </c>
      <c r="B139" s="45"/>
      <c r="C139" s="45" t="s">
        <v>40</v>
      </c>
      <c r="D139" s="45" t="s">
        <v>20</v>
      </c>
      <c r="E139" s="45" t="s">
        <v>93</v>
      </c>
      <c r="F139" s="45" t="s">
        <v>7</v>
      </c>
      <c r="G139" s="41"/>
      <c r="H139" s="41" t="s">
        <v>25</v>
      </c>
      <c r="I139" s="41"/>
      <c r="J139" s="41"/>
      <c r="K139" s="41"/>
      <c r="L139" s="41"/>
      <c r="S139" s="3">
        <v>50</v>
      </c>
      <c r="T139" s="3">
        <v>36</v>
      </c>
      <c r="AH139" s="3" t="str">
        <f>IF(adatok!M139="","",adatok!M139)</f>
        <v/>
      </c>
      <c r="AI139" s="3" t="str">
        <f>IF(adatok!N139="","",adatok!N139)</f>
        <v/>
      </c>
      <c r="AJ139" s="3" t="str">
        <f>IF(adatok!O139="","",adatok!O139)</f>
        <v/>
      </c>
    </row>
    <row r="140" spans="1:36" ht="24.9" customHeight="1">
      <c r="A140" s="44" t="s">
        <v>214</v>
      </c>
      <c r="B140" s="45" t="s">
        <v>23</v>
      </c>
      <c r="C140" s="45" t="s">
        <v>40</v>
      </c>
      <c r="D140" s="45" t="s">
        <v>20</v>
      </c>
      <c r="E140" s="45" t="s">
        <v>93</v>
      </c>
      <c r="F140" s="45" t="s">
        <v>7</v>
      </c>
      <c r="G140" s="41"/>
      <c r="H140" s="41" t="s">
        <v>25</v>
      </c>
      <c r="I140" s="41"/>
      <c r="J140" s="41"/>
      <c r="K140" s="41"/>
      <c r="L140" s="41"/>
      <c r="S140" s="3">
        <v>50</v>
      </c>
      <c r="T140" s="3">
        <v>36</v>
      </c>
      <c r="AH140" s="3" t="str">
        <f>IF(adatok!M140="","",adatok!M140)</f>
        <v/>
      </c>
      <c r="AI140" s="3" t="str">
        <f>IF(adatok!N140="","",adatok!N140)</f>
        <v/>
      </c>
      <c r="AJ140" s="3" t="str">
        <f>IF(adatok!O140="","",adatok!O140)</f>
        <v/>
      </c>
    </row>
    <row r="141" spans="1:36" ht="24.9" customHeight="1">
      <c r="A141" s="44" t="s">
        <v>214</v>
      </c>
      <c r="B141" s="45" t="s">
        <v>22</v>
      </c>
      <c r="C141" s="45" t="s">
        <v>40</v>
      </c>
      <c r="D141" s="45" t="s">
        <v>20</v>
      </c>
      <c r="E141" s="45" t="s">
        <v>116</v>
      </c>
      <c r="F141" s="45" t="s">
        <v>7</v>
      </c>
      <c r="G141" s="41"/>
      <c r="H141" s="41" t="s">
        <v>24</v>
      </c>
      <c r="I141" s="41"/>
      <c r="J141" s="41"/>
      <c r="K141" s="41"/>
      <c r="L141" s="41"/>
      <c r="S141" s="3">
        <v>50</v>
      </c>
      <c r="T141" s="3">
        <v>36</v>
      </c>
      <c r="AH141" s="3" t="str">
        <f>IF(adatok!M141="","",adatok!M141)</f>
        <v/>
      </c>
      <c r="AI141" s="3" t="str">
        <f>IF(adatok!N141="","",adatok!N141)</f>
        <v/>
      </c>
      <c r="AJ141" s="3" t="str">
        <f>IF(adatok!O141="","",adatok!O141)</f>
        <v/>
      </c>
    </row>
    <row r="142" spans="1:36" ht="24.9" customHeight="1">
      <c r="A142" s="42" t="s">
        <v>214</v>
      </c>
      <c r="B142" s="43" t="s">
        <v>22</v>
      </c>
      <c r="C142" s="43" t="s">
        <v>40</v>
      </c>
      <c r="D142" s="43" t="s">
        <v>19</v>
      </c>
      <c r="E142" s="43" t="s">
        <v>117</v>
      </c>
      <c r="F142" s="43" t="s">
        <v>7</v>
      </c>
      <c r="G142" s="29"/>
      <c r="H142" s="29" t="s">
        <v>24</v>
      </c>
      <c r="I142" s="29"/>
      <c r="J142" s="29"/>
      <c r="K142" s="29"/>
      <c r="L142" s="29"/>
      <c r="S142" s="3">
        <v>50</v>
      </c>
      <c r="T142" s="3">
        <v>36</v>
      </c>
      <c r="AH142" s="3" t="str">
        <f>IF(adatok!M142="","",adatok!M142)</f>
        <v/>
      </c>
      <c r="AI142" s="3" t="str">
        <f>IF(adatok!N142="","",adatok!N142)</f>
        <v/>
      </c>
      <c r="AJ142" s="3" t="str">
        <f>IF(adatok!O142="","",adatok!O142)</f>
        <v/>
      </c>
    </row>
    <row r="143" spans="1:36" ht="24.9" customHeight="1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AH143" s="3" t="str">
        <f>IF(adatok!M143="","",adatok!M143)</f>
        <v/>
      </c>
      <c r="AI143" s="3" t="str">
        <f>IF(adatok!N143="","",adatok!N143)</f>
        <v/>
      </c>
      <c r="AJ143" s="3" t="str">
        <f>IF(adatok!O143="","",adatok!O143)</f>
        <v/>
      </c>
    </row>
    <row r="144" spans="1:36" ht="24.9" customHeight="1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AH144" s="3" t="str">
        <f>IF(adatok!M144="","",adatok!M144)</f>
        <v/>
      </c>
      <c r="AI144" s="3" t="str">
        <f>IF(adatok!N144="","",adatok!N144)</f>
        <v/>
      </c>
      <c r="AJ144" s="3" t="str">
        <f>IF(adatok!O144="","",adatok!O144)</f>
        <v/>
      </c>
    </row>
    <row r="145" spans="1:36" ht="24.9" customHeight="1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AH145" s="3" t="str">
        <f>IF(adatok!M145="","",adatok!M145)</f>
        <v/>
      </c>
      <c r="AI145" s="3" t="str">
        <f>IF(adatok!N145="","",adatok!N145)</f>
        <v/>
      </c>
      <c r="AJ145" s="3" t="str">
        <f>IF(adatok!O145="","",adatok!O145)</f>
        <v/>
      </c>
    </row>
    <row r="146" spans="1:36" ht="24.9" customHeight="1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AH146" s="3" t="str">
        <f>IF(adatok!M146="","",adatok!M146)</f>
        <v/>
      </c>
      <c r="AI146" s="3" t="str">
        <f>IF(adatok!N146="","",adatok!N146)</f>
        <v/>
      </c>
      <c r="AJ146" s="3" t="str">
        <f>IF(adatok!O146="","",adatok!O146)</f>
        <v/>
      </c>
    </row>
    <row r="147" spans="1:36" ht="24.9" customHeight="1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AH147" s="3" t="str">
        <f>IF(adatok!M147="","",adatok!M147)</f>
        <v/>
      </c>
      <c r="AI147" s="3" t="str">
        <f>IF(adatok!N147="","",adatok!N147)</f>
        <v/>
      </c>
      <c r="AJ147" s="3" t="str">
        <f>IF(adatok!O147="","",adatok!O147)</f>
        <v/>
      </c>
    </row>
    <row r="148" spans="1:36" ht="24.9" customHeight="1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AH148" s="3" t="str">
        <f>IF(adatok!M148="","",adatok!M148)</f>
        <v/>
      </c>
      <c r="AI148" s="3" t="str">
        <f>IF(adatok!N148="","",adatok!N148)</f>
        <v/>
      </c>
      <c r="AJ148" s="3" t="str">
        <f>IF(adatok!O148="","",adatok!O148)</f>
        <v/>
      </c>
    </row>
    <row r="149" spans="1:36" ht="24.9" customHeight="1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AH149" s="3" t="str">
        <f>IF(adatok!M149="","",adatok!M149)</f>
        <v/>
      </c>
      <c r="AI149" s="3" t="str">
        <f>IF(adatok!N149="","",adatok!N149)</f>
        <v/>
      </c>
      <c r="AJ149" s="3" t="str">
        <f>IF(adatok!O149="","",adatok!O149)</f>
        <v/>
      </c>
    </row>
    <row r="150" spans="1:36" ht="24.9" customHeight="1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AH150" s="3" t="str">
        <f>IF(adatok!M150="","",adatok!M150)</f>
        <v/>
      </c>
      <c r="AI150" s="3" t="str">
        <f>IF(adatok!N150="","",adatok!N150)</f>
        <v/>
      </c>
      <c r="AJ150" s="3" t="str">
        <f>IF(adatok!O150="","",adatok!O150)</f>
        <v/>
      </c>
    </row>
    <row r="151" spans="1:36" ht="24.9" customHeight="1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AH151" s="3" t="str">
        <f>IF(adatok!M151="","",adatok!M151)</f>
        <v/>
      </c>
      <c r="AI151" s="3" t="str">
        <f>IF(adatok!N151="","",adatok!N151)</f>
        <v/>
      </c>
      <c r="AJ151" s="3" t="str">
        <f>IF(adatok!O151="","",adatok!O151)</f>
        <v/>
      </c>
    </row>
    <row r="152" spans="1:36" ht="24.9" customHeight="1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AH152" s="3" t="str">
        <f>IF(adatok!M152="","",adatok!M152)</f>
        <v/>
      </c>
      <c r="AI152" s="3" t="str">
        <f>IF(adatok!N152="","",adatok!N152)</f>
        <v/>
      </c>
      <c r="AJ152" s="3" t="str">
        <f>IF(adatok!O152="","",adatok!O152)</f>
        <v/>
      </c>
    </row>
    <row r="153" spans="1:36" ht="24.9" customHeight="1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AH153" s="3" t="str">
        <f>IF(adatok!M153="","",adatok!M153)</f>
        <v/>
      </c>
      <c r="AI153" s="3" t="str">
        <f>IF(adatok!N153="","",adatok!N153)</f>
        <v/>
      </c>
      <c r="AJ153" s="3" t="str">
        <f>IF(adatok!O153="","",adatok!O153)</f>
        <v/>
      </c>
    </row>
    <row r="154" spans="1:36" ht="24.9" customHeight="1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AH154" s="3" t="str">
        <f>IF(adatok!M154="","",adatok!M154)</f>
        <v/>
      </c>
      <c r="AI154" s="3" t="str">
        <f>IF(adatok!N154="","",adatok!N154)</f>
        <v/>
      </c>
      <c r="AJ154" s="3" t="str">
        <f>IF(adatok!O154="","",adatok!O154)</f>
        <v/>
      </c>
    </row>
    <row r="155" spans="1:36" ht="24.9" customHeight="1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AH155" s="3" t="str">
        <f>IF(adatok!M155="","",adatok!M155)</f>
        <v/>
      </c>
      <c r="AI155" s="3" t="str">
        <f>IF(adatok!N155="","",adatok!N155)</f>
        <v/>
      </c>
      <c r="AJ155" s="3" t="str">
        <f>IF(adatok!O155="","",adatok!O155)</f>
        <v/>
      </c>
    </row>
    <row r="156" spans="1:36" ht="24.9" customHeight="1">
      <c r="A156" s="26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AH156" s="3" t="str">
        <f>IF(adatok!M156="","",adatok!M156)</f>
        <v/>
      </c>
      <c r="AI156" s="3" t="str">
        <f>IF(adatok!N156="","",adatok!N156)</f>
        <v/>
      </c>
      <c r="AJ156" s="3" t="str">
        <f>IF(adatok!O156="","",adatok!O156)</f>
        <v/>
      </c>
    </row>
    <row r="157" spans="1:36" ht="24.9" customHeight="1">
      <c r="A157" s="26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AH157" s="3" t="str">
        <f>IF(adatok!M157="","",adatok!M157)</f>
        <v/>
      </c>
      <c r="AI157" s="3" t="str">
        <f>IF(adatok!N157="","",adatok!N157)</f>
        <v/>
      </c>
      <c r="AJ157" s="3" t="str">
        <f>IF(adatok!O157="","",adatok!O157)</f>
        <v/>
      </c>
    </row>
    <row r="158" spans="1:36" ht="24.9" customHeight="1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AH158" s="3" t="str">
        <f>IF(adatok!M158="","",adatok!M158)</f>
        <v/>
      </c>
      <c r="AI158" s="3" t="str">
        <f>IF(adatok!N158="","",adatok!N158)</f>
        <v/>
      </c>
      <c r="AJ158" s="3" t="str">
        <f>IF(adatok!O158="","",adatok!O158)</f>
        <v/>
      </c>
    </row>
    <row r="159" spans="1:36" ht="24.9" customHeight="1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AH159" s="3" t="str">
        <f>IF(adatok!M159="","",adatok!M159)</f>
        <v/>
      </c>
      <c r="AI159" s="3" t="str">
        <f>IF(adatok!N159="","",adatok!N159)</f>
        <v/>
      </c>
      <c r="AJ159" s="3" t="str">
        <f>IF(adatok!O159="","",adatok!O159)</f>
        <v/>
      </c>
    </row>
    <row r="160" spans="1:36" ht="24.9" customHeight="1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AH160" s="3" t="str">
        <f>IF(adatok!M160="","",adatok!M160)</f>
        <v/>
      </c>
      <c r="AI160" s="3" t="str">
        <f>IF(adatok!N160="","",adatok!N160)</f>
        <v/>
      </c>
      <c r="AJ160" s="3" t="str">
        <f>IF(adatok!O160="","",adatok!O160)</f>
        <v/>
      </c>
    </row>
    <row r="161" spans="1:36" ht="24.9" customHeight="1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AH161" s="3" t="str">
        <f>IF(adatok!M161="","",adatok!M161)</f>
        <v/>
      </c>
      <c r="AI161" s="3" t="str">
        <f>IF(adatok!N161="","",adatok!N161)</f>
        <v/>
      </c>
      <c r="AJ161" s="3" t="str">
        <f>IF(adatok!O161="","",adatok!O161)</f>
        <v/>
      </c>
    </row>
    <row r="162" spans="1:36" ht="24.9" customHeight="1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AH162" s="3" t="str">
        <f>IF(adatok!M162="","",adatok!M162)</f>
        <v/>
      </c>
      <c r="AI162" s="3" t="str">
        <f>IF(adatok!N162="","",adatok!N162)</f>
        <v/>
      </c>
      <c r="AJ162" s="3" t="str">
        <f>IF(adatok!O162="","",adatok!O162)</f>
        <v/>
      </c>
    </row>
    <row r="163" spans="1:36" ht="24.9" customHeight="1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AH163" s="3" t="str">
        <f>IF(adatok!M163="","",adatok!M163)</f>
        <v/>
      </c>
      <c r="AI163" s="3" t="str">
        <f>IF(adatok!N163="","",adatok!N163)</f>
        <v/>
      </c>
      <c r="AJ163" s="3" t="str">
        <f>IF(adatok!O163="","",adatok!O163)</f>
        <v/>
      </c>
    </row>
    <row r="164" spans="1:36" ht="24.9" customHeight="1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AH164" s="3" t="str">
        <f>IF(adatok!M164="","",adatok!M164)</f>
        <v/>
      </c>
      <c r="AI164" s="3" t="str">
        <f>IF(adatok!N164="","",adatok!N164)</f>
        <v/>
      </c>
      <c r="AJ164" s="3" t="str">
        <f>IF(adatok!O164="","",adatok!O164)</f>
        <v/>
      </c>
    </row>
    <row r="165" spans="1:36" ht="24.9" customHeight="1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AH165" s="3" t="str">
        <f>IF(adatok!M165="","",adatok!M165)</f>
        <v/>
      </c>
      <c r="AI165" s="3" t="str">
        <f>IF(adatok!N165="","",adatok!N165)</f>
        <v/>
      </c>
      <c r="AJ165" s="3" t="str">
        <f>IF(adatok!O165="","",adatok!O165)</f>
        <v/>
      </c>
    </row>
    <row r="166" spans="1:36" ht="24.9" customHeight="1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AH166" s="3" t="str">
        <f>IF(adatok!M166="","",adatok!M166)</f>
        <v/>
      </c>
      <c r="AI166" s="3" t="str">
        <f>IF(adatok!N166="","",adatok!N166)</f>
        <v/>
      </c>
      <c r="AJ166" s="3" t="str">
        <f>IF(adatok!O166="","",adatok!O166)</f>
        <v/>
      </c>
    </row>
    <row r="167" spans="1:36" ht="24.9" customHeight="1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AH167" s="3" t="str">
        <f>IF(adatok!M167="","",adatok!M167)</f>
        <v/>
      </c>
      <c r="AI167" s="3" t="str">
        <f>IF(adatok!N167="","",adatok!N167)</f>
        <v/>
      </c>
      <c r="AJ167" s="3" t="str">
        <f>IF(adatok!O167="","",adatok!O167)</f>
        <v/>
      </c>
    </row>
    <row r="168" spans="1:36" ht="24.9" customHeight="1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AH168" s="3" t="str">
        <f>IF(adatok!M168="","",adatok!M168)</f>
        <v/>
      </c>
      <c r="AI168" s="3" t="str">
        <f>IF(adatok!N168="","",adatok!N168)</f>
        <v/>
      </c>
      <c r="AJ168" s="3" t="str">
        <f>IF(adatok!O168="","",adatok!O168)</f>
        <v/>
      </c>
    </row>
    <row r="169" spans="1:36" ht="24.9" customHeight="1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AH169" s="3" t="str">
        <f>IF(adatok!M169="","",adatok!M169)</f>
        <v/>
      </c>
      <c r="AI169" s="3" t="str">
        <f>IF(adatok!N169="","",adatok!N169)</f>
        <v/>
      </c>
      <c r="AJ169" s="3" t="str">
        <f>IF(adatok!O169="","",adatok!O169)</f>
        <v/>
      </c>
    </row>
    <row r="170" spans="1:36" ht="24.9" customHeight="1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AH170" s="3" t="str">
        <f>IF(adatok!M170="","",adatok!M170)</f>
        <v/>
      </c>
      <c r="AI170" s="3" t="str">
        <f>IF(adatok!N170="","",adatok!N170)</f>
        <v/>
      </c>
      <c r="AJ170" s="3" t="str">
        <f>IF(adatok!O170="","",adatok!O170)</f>
        <v/>
      </c>
    </row>
    <row r="171" spans="1:36" ht="24.9" customHeight="1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AH171" s="3" t="str">
        <f>IF(adatok!M171="","",adatok!M171)</f>
        <v/>
      </c>
      <c r="AI171" s="3" t="str">
        <f>IF(adatok!N171="","",adatok!N171)</f>
        <v/>
      </c>
      <c r="AJ171" s="3" t="str">
        <f>IF(adatok!O171="","",adatok!O171)</f>
        <v/>
      </c>
    </row>
    <row r="172" spans="1:36" ht="24.9" customHeight="1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AH172" s="3" t="str">
        <f>IF(adatok!M172="","",adatok!M172)</f>
        <v/>
      </c>
      <c r="AI172" s="3" t="str">
        <f>IF(adatok!N172="","",adatok!N172)</f>
        <v/>
      </c>
      <c r="AJ172" s="3" t="str">
        <f>IF(adatok!O172="","",adatok!O172)</f>
        <v/>
      </c>
    </row>
    <row r="173" spans="1:36" ht="24.9" customHeight="1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AH173" s="3" t="str">
        <f>IF(adatok!M173="","",adatok!M173)</f>
        <v/>
      </c>
      <c r="AI173" s="3" t="str">
        <f>IF(adatok!N173="","",adatok!N173)</f>
        <v/>
      </c>
      <c r="AJ173" s="3" t="str">
        <f>IF(adatok!O173="","",adatok!O173)</f>
        <v/>
      </c>
    </row>
    <row r="174" spans="1:36" ht="24.9" customHeight="1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AH174" s="3" t="str">
        <f>IF(adatok!M174="","",adatok!M174)</f>
        <v/>
      </c>
      <c r="AI174" s="3" t="str">
        <f>IF(adatok!N174="","",adatok!N174)</f>
        <v/>
      </c>
      <c r="AJ174" s="3" t="str">
        <f>IF(adatok!O174="","",adatok!O174)</f>
        <v/>
      </c>
    </row>
    <row r="175" spans="1:36" ht="24.9" customHeight="1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AH175" s="3" t="str">
        <f>IF(adatok!M175="","",adatok!M175)</f>
        <v/>
      </c>
      <c r="AI175" s="3" t="str">
        <f>IF(adatok!N175="","",adatok!N175)</f>
        <v/>
      </c>
      <c r="AJ175" s="3" t="str">
        <f>IF(adatok!O175="","",adatok!O175)</f>
        <v/>
      </c>
    </row>
    <row r="176" spans="1:36" ht="24.9" customHeight="1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AH176" s="3" t="str">
        <f>IF(adatok!M176="","",adatok!M176)</f>
        <v/>
      </c>
      <c r="AI176" s="3" t="str">
        <f>IF(adatok!N176="","",adatok!N176)</f>
        <v/>
      </c>
      <c r="AJ176" s="3" t="str">
        <f>IF(adatok!O176="","",adatok!O176)</f>
        <v/>
      </c>
    </row>
    <row r="177" spans="1:36" ht="24.9" customHeight="1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AH177" s="3" t="str">
        <f>IF(adatok!M177="","",adatok!M177)</f>
        <v/>
      </c>
      <c r="AI177" s="3" t="str">
        <f>IF(adatok!N177="","",adatok!N177)</f>
        <v/>
      </c>
      <c r="AJ177" s="3" t="str">
        <f>IF(adatok!O177="","",adatok!O177)</f>
        <v/>
      </c>
    </row>
    <row r="178" spans="1:36" ht="24.9" customHeight="1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AH178" s="3" t="str">
        <f>IF(adatok!M178="","",adatok!M178)</f>
        <v/>
      </c>
      <c r="AI178" s="3" t="str">
        <f>IF(adatok!N178="","",adatok!N178)</f>
        <v/>
      </c>
      <c r="AJ178" s="3" t="str">
        <f>IF(adatok!O178="","",adatok!O178)</f>
        <v/>
      </c>
    </row>
    <row r="179" spans="1:36" ht="24.9" customHeight="1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AH179" s="3" t="str">
        <f>IF(adatok!M179="","",adatok!M179)</f>
        <v/>
      </c>
      <c r="AI179" s="3" t="str">
        <f>IF(adatok!N179="","",adatok!N179)</f>
        <v/>
      </c>
      <c r="AJ179" s="3" t="str">
        <f>IF(adatok!O179="","",adatok!O179)</f>
        <v/>
      </c>
    </row>
    <row r="180" spans="1:36" ht="24.9" customHeight="1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AH180" s="3" t="str">
        <f>IF(adatok!M180="","",adatok!M180)</f>
        <v/>
      </c>
      <c r="AI180" s="3" t="str">
        <f>IF(adatok!N180="","",adatok!N180)</f>
        <v/>
      </c>
      <c r="AJ180" s="3" t="str">
        <f>IF(adatok!O180="","",adatok!O180)</f>
        <v/>
      </c>
    </row>
    <row r="181" spans="1:36" ht="24.9" customHeight="1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AH181" s="3" t="str">
        <f>IF(adatok!M181="","",adatok!M181)</f>
        <v/>
      </c>
      <c r="AI181" s="3" t="str">
        <f>IF(adatok!N181="","",adatok!N181)</f>
        <v/>
      </c>
      <c r="AJ181" s="3" t="str">
        <f>IF(adatok!O181="","",adatok!O181)</f>
        <v/>
      </c>
    </row>
    <row r="182" spans="1:36" ht="24.9" customHeight="1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AH182" s="3" t="str">
        <f>IF(adatok!M182="","",adatok!M182)</f>
        <v/>
      </c>
      <c r="AI182" s="3" t="str">
        <f>IF(adatok!N182="","",adatok!N182)</f>
        <v/>
      </c>
      <c r="AJ182" s="3" t="str">
        <f>IF(adatok!O182="","",adatok!O182)</f>
        <v/>
      </c>
    </row>
    <row r="183" spans="1:36" ht="24.9" customHeight="1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</row>
    <row r="184" spans="1:36" ht="24.9" customHeight="1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</row>
    <row r="185" spans="1:36" ht="24.9" customHeight="1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</row>
    <row r="186" spans="1:36" ht="24.9" customHeight="1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</row>
    <row r="187" spans="1:36" ht="24.9" customHeight="1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</row>
    <row r="188" spans="1:36" ht="24.9" customHeight="1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</row>
    <row r="189" spans="1:36" ht="24.9" customHeight="1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</row>
    <row r="190" spans="1:36" ht="24.9" customHeight="1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</row>
    <row r="191" spans="1:36" ht="24.9" customHeight="1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</row>
    <row r="192" spans="1:36" ht="24.9" customHeight="1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</row>
    <row r="193" spans="1:11" ht="24.9" customHeight="1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</row>
    <row r="194" spans="1:11" ht="24.9" customHeight="1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</row>
    <row r="195" spans="1:11" ht="24.9" customHeight="1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</row>
    <row r="196" spans="1:11" ht="24.9" customHeight="1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</row>
    <row r="197" spans="1:11" ht="24.9" customHeight="1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</row>
    <row r="198" spans="1:11" ht="24.9" customHeight="1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</row>
    <row r="199" spans="1:11" ht="24.9" customHeight="1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</row>
    <row r="200" spans="1:11" ht="24.9" customHeight="1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</row>
    <row r="201" spans="1:11" ht="24.9" customHeight="1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</row>
    <row r="202" spans="1:11" ht="24.9" customHeight="1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</row>
    <row r="203" spans="1:11" ht="24.9" customHeight="1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</row>
    <row r="204" spans="1:11" ht="24.9" customHeight="1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</row>
    <row r="205" spans="1:11" ht="24.9" customHeight="1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</row>
    <row r="206" spans="1:11" ht="24.9" customHeight="1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</row>
    <row r="207" spans="1:11" ht="24.9" customHeight="1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</row>
    <row r="208" spans="1:11" ht="24.9" customHeight="1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</row>
    <row r="209" spans="1:11" ht="24.9" customHeight="1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</row>
    <row r="210" spans="1:11" ht="24.9" customHeight="1">
      <c r="A210" s="26"/>
      <c r="B210" s="25"/>
      <c r="C210" s="25"/>
      <c r="D210" s="25"/>
      <c r="E210" s="25"/>
      <c r="F210" s="25"/>
      <c r="G210" s="25"/>
      <c r="H210" s="25"/>
      <c r="I210" s="25"/>
      <c r="J210" s="25"/>
      <c r="K210" s="25"/>
    </row>
    <row r="211" spans="1:11" ht="24.9" customHeight="1">
      <c r="A211" s="26"/>
      <c r="B211" s="25"/>
      <c r="C211" s="25"/>
      <c r="D211" s="25"/>
      <c r="E211" s="25"/>
      <c r="F211" s="25"/>
      <c r="G211" s="25"/>
      <c r="H211" s="25"/>
      <c r="I211" s="25"/>
      <c r="J211" s="25"/>
      <c r="K211" s="25"/>
    </row>
    <row r="212" spans="1:11" ht="24.9" customHeight="1">
      <c r="A212" s="26"/>
      <c r="B212" s="25"/>
      <c r="C212" s="25"/>
      <c r="D212" s="25"/>
      <c r="E212" s="25"/>
      <c r="F212" s="25"/>
      <c r="G212" s="25"/>
      <c r="H212" s="25"/>
      <c r="I212" s="25"/>
      <c r="J212" s="25"/>
      <c r="K212" s="25"/>
    </row>
    <row r="213" spans="1:11" ht="24.9" customHeight="1">
      <c r="A213" s="26"/>
      <c r="B213" s="25"/>
      <c r="C213" s="25"/>
      <c r="D213" s="25"/>
      <c r="E213" s="25"/>
      <c r="F213" s="25"/>
      <c r="G213" s="25"/>
      <c r="H213" s="25"/>
      <c r="I213" s="25"/>
      <c r="J213" s="25"/>
      <c r="K213" s="25"/>
    </row>
    <row r="214" spans="1:11" ht="24.9" customHeight="1">
      <c r="A214" s="26"/>
      <c r="B214" s="25"/>
      <c r="C214" s="25"/>
      <c r="D214" s="25"/>
      <c r="E214" s="25"/>
      <c r="F214" s="25"/>
      <c r="G214" s="25"/>
      <c r="H214" s="25"/>
      <c r="I214" s="25"/>
      <c r="J214" s="25"/>
      <c r="K214" s="25"/>
    </row>
    <row r="215" spans="1:11" ht="24.9" customHeight="1">
      <c r="A215" s="26"/>
      <c r="B215" s="25"/>
      <c r="C215" s="25"/>
      <c r="D215" s="25"/>
      <c r="E215" s="25"/>
      <c r="F215" s="25"/>
      <c r="G215" s="25"/>
      <c r="H215" s="25"/>
      <c r="I215" s="25"/>
      <c r="J215" s="25"/>
      <c r="K215" s="25"/>
    </row>
    <row r="216" spans="1:11" ht="24.9" customHeight="1">
      <c r="A216" s="26"/>
      <c r="B216" s="25"/>
      <c r="C216" s="25"/>
      <c r="D216" s="25"/>
      <c r="E216" s="25"/>
      <c r="F216" s="25"/>
      <c r="G216" s="25"/>
      <c r="H216" s="25"/>
      <c r="I216" s="25"/>
      <c r="J216" s="25"/>
      <c r="K216" s="25"/>
    </row>
    <row r="217" spans="1:11" ht="24.9" customHeight="1">
      <c r="A217" s="26"/>
      <c r="B217" s="25"/>
      <c r="C217" s="25"/>
      <c r="D217" s="25"/>
      <c r="E217" s="25"/>
      <c r="F217" s="25"/>
      <c r="G217" s="25"/>
      <c r="H217" s="25"/>
      <c r="I217" s="25"/>
      <c r="J217" s="25"/>
      <c r="K217" s="25"/>
    </row>
    <row r="218" spans="1:11" ht="24.9" customHeight="1">
      <c r="A218" s="26"/>
      <c r="B218" s="25"/>
      <c r="C218" s="25"/>
      <c r="D218" s="25"/>
      <c r="E218" s="25"/>
      <c r="F218" s="25"/>
      <c r="G218" s="25"/>
      <c r="H218" s="25"/>
      <c r="I218" s="25"/>
      <c r="J218" s="25"/>
      <c r="K218" s="25"/>
    </row>
    <row r="219" spans="1:11" ht="24.9" customHeight="1">
      <c r="A219" s="26"/>
      <c r="B219" s="25"/>
      <c r="C219" s="25"/>
      <c r="D219" s="25"/>
      <c r="E219" s="25"/>
      <c r="F219" s="25"/>
      <c r="G219" s="25"/>
      <c r="H219" s="25"/>
      <c r="I219" s="25"/>
      <c r="J219" s="25"/>
      <c r="K219" s="25"/>
    </row>
    <row r="220" spans="1:11" ht="24.9" customHeight="1">
      <c r="A220" s="26"/>
      <c r="B220" s="25"/>
      <c r="C220" s="25"/>
      <c r="D220" s="25"/>
      <c r="E220" s="25"/>
      <c r="F220" s="25"/>
      <c r="G220" s="25"/>
      <c r="H220" s="25"/>
      <c r="I220" s="25"/>
      <c r="J220" s="25"/>
      <c r="K220" s="25"/>
    </row>
    <row r="221" spans="1:11" ht="24.9" customHeight="1">
      <c r="A221" s="26"/>
      <c r="B221" s="25"/>
      <c r="C221" s="25"/>
      <c r="D221" s="25"/>
      <c r="E221" s="25"/>
      <c r="F221" s="25"/>
      <c r="G221" s="25"/>
      <c r="H221" s="25"/>
      <c r="I221" s="25"/>
      <c r="J221" s="25"/>
      <c r="K221" s="25"/>
    </row>
  </sheetData>
  <sheetProtection password="C643" sheet="1" objects="1" scenarios="1" selectLockedCells="1" autoFilter="0" selectUnlockedCells="1"/>
  <autoFilter ref="A1:L142"/>
  <sortState ref="A2:T142">
    <sortCondition ref="A2:A142"/>
  </sortState>
  <dataConsolidate/>
  <dataValidations disablePrompts="1" count="2">
    <dataValidation type="list" allowBlank="1" showInputMessage="1" showErrorMessage="1" sqref="G9 G89:G90 G72:G81 G69 G65 G61 G110 G101 G103 G98 G119:G120 G128 G28:G29 G32 G35 G37 G42 G93 G113:G116 G105:G108 G12:G13 G222 G2 G5 G6 G10 G3 G7:G8 G4">
      <formula1>Augusztus!$AG$2:$AG$3</formula1>
    </dataValidation>
    <dataValidation type="list" allowBlank="1" showInputMessage="1" showErrorMessage="1" sqref="G117:G118 G129:G175 G121:G127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adatok</vt:lpstr>
      <vt:lpstr>Augusztus</vt:lpstr>
    </vt:vector>
  </TitlesOfParts>
  <Company>Bosch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UT82MC</dc:creator>
  <cp:lastModifiedBy>Kökény józsef</cp:lastModifiedBy>
  <cp:lastPrinted>2015-07-22T11:55:18Z</cp:lastPrinted>
  <dcterms:created xsi:type="dcterms:W3CDTF">2015-05-22T12:53:35Z</dcterms:created>
  <dcterms:modified xsi:type="dcterms:W3CDTF">2015-08-04T13:59:12Z</dcterms:modified>
</cp:coreProperties>
</file>